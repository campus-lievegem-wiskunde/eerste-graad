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leg" sheetId="1" state="visible" r:id="rId3"/>
    <sheet name="Leerlingen" sheetId="2" state="visible" r:id="rId4"/>
    <sheet name="Leerkrachten" sheetId="3" state="visible" r:id="rId5"/>
    <sheet name="Niveaugroepen" sheetId="4" state="visible" r:id="rId6"/>
    <sheet name="Klass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<sst xmlns="http://schemas.openxmlformats.org/spreadsheetml/2006/main" count="520" uniqueCount="151">
  <si>
    <t xml:space="preserve">Voorbeeldbestand leerlingen, leerkrachten en niveaugroepen</t>
  </si>
  <si>
    <t xml:space="preserve">Alle leerlingennamen zijn verzonnen. Vervang ze later door de echte Smartschool-export (zelfde kolommen).</t>
  </si>
  <si>
    <t xml:space="preserve">Wat vul jij aan?</t>
  </si>
  <si>
    <t xml:space="preserve">• Cellen met een lichtoranje achtergrond: hier vul je zelf in of verbeter je.</t>
  </si>
  <si>
    <t xml:space="preserve">• Blauwe tekst = voorbeeldwaarden die je mag aanpassen.</t>
  </si>
  <si>
    <t xml:space="preserve">• Zwarte tekst in de kolom E-mail = formule: familienaam.voornaam@svsl.be, kleine letters, zonder spaties of apostrof.</t>
  </si>
  <si>
    <t xml:space="preserve">  Let op: letters met accenten (é, ë, ï …) laat de formule staan. Klopt een adres niet, overschrijf de cel dan met het juiste adres.</t>
  </si>
  <si>
    <t xml:space="preserve">Tabbladen</t>
  </si>
  <si>
    <t xml:space="preserve">Leerlingen: één rij per leerling, met klas en niveaugroep wiskunde.</t>
  </si>
  <si>
    <t xml:space="preserve">Kolom Stroom: A of B. Bepaalt of de leerling de sites van 1A/2A of van 1B/2B ziet.</t>
  </si>
  <si>
    <t xml:space="preserve">Leerkrachten: wie toegang krijgt tot het dashboard, met rol en niveaugroepen.</t>
  </si>
  <si>
    <t xml:space="preserve">Niveaugroepen: alle groepen per jaar, met de leerkracht(en). Aantal leerlingen telt automatisch.</t>
  </si>
  <si>
    <t xml:space="preserve">Klassen: alle klassen per jaar. Aantal leerlingen telt automatisch.</t>
  </si>
  <si>
    <t xml:space="preserve">Afspraken</t>
  </si>
  <si>
    <t xml:space="preserve">• 1B en 2B zijn de klassen van de B-stroom: die leerlingen krijgen wiskunde in hun klas (groep 1B of 2B, stroom B).</t>
  </si>
  <si>
    <t xml:space="preserve">• A-stroom: 1C en 1D (en 2C, 2D) krijgen wiskunde in hun klas. De klassen 1E–1J (en 2E–2J) worden verdeeld over de niveaugroepen ANg1, ANg2a–e en ANg3. In dit voorbeeld is die verdeling willekeurig.</t>
  </si>
  <si>
    <t xml:space="preserve">• Rol "beheerder" = toegang tot de beheerpagina én de gewone leerkrachtenpagina (wisselen met één knop).</t>
  </si>
  <si>
    <t xml:space="preserve">Jaar</t>
  </si>
  <si>
    <t xml:space="preserve">Stroom</t>
  </si>
  <si>
    <t xml:space="preserve">Klas</t>
  </si>
  <si>
    <t xml:space="preserve">Familienaam</t>
  </si>
  <si>
    <t xml:space="preserve">Voornaam</t>
  </si>
  <si>
    <t xml:space="preserve">E-mail</t>
  </si>
  <si>
    <t xml:space="preserve">Niveaugroep wiskunde</t>
  </si>
  <si>
    <t xml:space="preserve">B</t>
  </si>
  <si>
    <t xml:space="preserve">1B</t>
  </si>
  <si>
    <t xml:space="preserve">Van Hecke</t>
  </si>
  <si>
    <t xml:space="preserve">Arthur</t>
  </si>
  <si>
    <t xml:space="preserve">Bauwens</t>
  </si>
  <si>
    <t xml:space="preserve">Liam</t>
  </si>
  <si>
    <t xml:space="preserve">Mertens</t>
  </si>
  <si>
    <t xml:space="preserve">Febe</t>
  </si>
  <si>
    <t xml:space="preserve">Claes</t>
  </si>
  <si>
    <t xml:space="preserve">Wout</t>
  </si>
  <si>
    <t xml:space="preserve">A</t>
  </si>
  <si>
    <t xml:space="preserve">1C</t>
  </si>
  <si>
    <t xml:space="preserve">Jacobs</t>
  </si>
  <si>
    <t xml:space="preserve">Sara</t>
  </si>
  <si>
    <t xml:space="preserve">Hermans</t>
  </si>
  <si>
    <t xml:space="preserve">Emma</t>
  </si>
  <si>
    <t xml:space="preserve">Willems</t>
  </si>
  <si>
    <t xml:space="preserve">Jasper</t>
  </si>
  <si>
    <t xml:space="preserve">Coppens</t>
  </si>
  <si>
    <t xml:space="preserve">Mila</t>
  </si>
  <si>
    <t xml:space="preserve">1D</t>
  </si>
  <si>
    <t xml:space="preserve">Aerts</t>
  </si>
  <si>
    <t xml:space="preserve">Lucas</t>
  </si>
  <si>
    <t xml:space="preserve">Baert</t>
  </si>
  <si>
    <t xml:space="preserve">Finn</t>
  </si>
  <si>
    <t xml:space="preserve">Michiels</t>
  </si>
  <si>
    <t xml:space="preserve">1E</t>
  </si>
  <si>
    <t xml:space="preserve">1ANg1</t>
  </si>
  <si>
    <t xml:space="preserve">Nora</t>
  </si>
  <si>
    <t xml:space="preserve">1ANg2a</t>
  </si>
  <si>
    <t xml:space="preserve">Vermeulen</t>
  </si>
  <si>
    <t xml:space="preserve">Lore</t>
  </si>
  <si>
    <t xml:space="preserve">1ANg2b</t>
  </si>
  <si>
    <t xml:space="preserve">De Smedt</t>
  </si>
  <si>
    <t xml:space="preserve">1ANg2c</t>
  </si>
  <si>
    <t xml:space="preserve">1F</t>
  </si>
  <si>
    <t xml:space="preserve">Goossens</t>
  </si>
  <si>
    <t xml:space="preserve">Seppe</t>
  </si>
  <si>
    <t xml:space="preserve">1ANg2d</t>
  </si>
  <si>
    <t xml:space="preserve">Jules</t>
  </si>
  <si>
    <t xml:space="preserve">1ANg2e</t>
  </si>
  <si>
    <t xml:space="preserve">Elise</t>
  </si>
  <si>
    <t xml:space="preserve">1ANg3</t>
  </si>
  <si>
    <t xml:space="preserve">D'Hondt</t>
  </si>
  <si>
    <t xml:space="preserve">Olivia</t>
  </si>
  <si>
    <t xml:space="preserve">1G</t>
  </si>
  <si>
    <t xml:space="preserve">Louis</t>
  </si>
  <si>
    <t xml:space="preserve">Bogaert</t>
  </si>
  <si>
    <t xml:space="preserve">Smets</t>
  </si>
  <si>
    <t xml:space="preserve">Julie</t>
  </si>
  <si>
    <t xml:space="preserve">1H</t>
  </si>
  <si>
    <t xml:space="preserve">Cools</t>
  </si>
  <si>
    <t xml:space="preserve">Kobe</t>
  </si>
  <si>
    <t xml:space="preserve">Desmet</t>
  </si>
  <si>
    <t xml:space="preserve">Ilias</t>
  </si>
  <si>
    <t xml:space="preserve">1I</t>
  </si>
  <si>
    <t xml:space="preserve">Lars</t>
  </si>
  <si>
    <t xml:space="preserve">Segers</t>
  </si>
  <si>
    <t xml:space="preserve">Ella</t>
  </si>
  <si>
    <t xml:space="preserve">Lievens</t>
  </si>
  <si>
    <t xml:space="preserve">1J</t>
  </si>
  <si>
    <t xml:space="preserve">Van den Broeck</t>
  </si>
  <si>
    <t xml:space="preserve">Milan</t>
  </si>
  <si>
    <t xml:space="preserve">Robbe</t>
  </si>
  <si>
    <t xml:space="preserve">2B</t>
  </si>
  <si>
    <t xml:space="preserve">Pauwels</t>
  </si>
  <si>
    <t xml:space="preserve">Mats</t>
  </si>
  <si>
    <t xml:space="preserve">2C</t>
  </si>
  <si>
    <t xml:space="preserve">Van Damme</t>
  </si>
  <si>
    <t xml:space="preserve">Verstraete</t>
  </si>
  <si>
    <t xml:space="preserve">Ines</t>
  </si>
  <si>
    <t xml:space="preserve">Janssens</t>
  </si>
  <si>
    <t xml:space="preserve">2D</t>
  </si>
  <si>
    <t xml:space="preserve">Lena</t>
  </si>
  <si>
    <t xml:space="preserve">Thijs</t>
  </si>
  <si>
    <t xml:space="preserve">2E</t>
  </si>
  <si>
    <t xml:space="preserve">2ANg2c</t>
  </si>
  <si>
    <t xml:space="preserve">2ANg2d</t>
  </si>
  <si>
    <t xml:space="preserve">2ANg2e</t>
  </si>
  <si>
    <t xml:space="preserve">2ANg3</t>
  </si>
  <si>
    <t xml:space="preserve">2F</t>
  </si>
  <si>
    <t xml:space="preserve">Wouters</t>
  </si>
  <si>
    <t xml:space="preserve">2ANg1</t>
  </si>
  <si>
    <t xml:space="preserve">2ANg2a</t>
  </si>
  <si>
    <t xml:space="preserve">Fien</t>
  </si>
  <si>
    <t xml:space="preserve">2ANg2b</t>
  </si>
  <si>
    <t xml:space="preserve">2G</t>
  </si>
  <si>
    <t xml:space="preserve">Dubois</t>
  </si>
  <si>
    <t xml:space="preserve">Peeters</t>
  </si>
  <si>
    <t xml:space="preserve">Hanne</t>
  </si>
  <si>
    <t xml:space="preserve">2H</t>
  </si>
  <si>
    <t xml:space="preserve">Lotte</t>
  </si>
  <si>
    <t xml:space="preserve">Vandenberghe</t>
  </si>
  <si>
    <t xml:space="preserve">2I</t>
  </si>
  <si>
    <t xml:space="preserve">Yasmine</t>
  </si>
  <si>
    <t xml:space="preserve">2J</t>
  </si>
  <si>
    <t xml:space="preserve">Lambert</t>
  </si>
  <si>
    <t xml:space="preserve">Marie</t>
  </si>
  <si>
    <t xml:space="preserve">Martens</t>
  </si>
  <si>
    <t xml:space="preserve">Rol</t>
  </si>
  <si>
    <t xml:space="preserve">Niveaugroepen (komma ertussen)</t>
  </si>
  <si>
    <t xml:space="preserve">Van Parijs</t>
  </si>
  <si>
    <t xml:space="preserve">Frank</t>
  </si>
  <si>
    <t xml:space="preserve">leerkracht</t>
  </si>
  <si>
    <t xml:space="preserve">Van Daele</t>
  </si>
  <si>
    <t xml:space="preserve">Tom</t>
  </si>
  <si>
    <t xml:space="preserve">De Jaeger</t>
  </si>
  <si>
    <t xml:space="preserve">Jeroen</t>
  </si>
  <si>
    <t xml:space="preserve">beheerder</t>
  </si>
  <si>
    <t xml:space="preserve">voorbeeld: 1ANg2a, 1ANg2b</t>
  </si>
  <si>
    <t xml:space="preserve">De Smet</t>
  </si>
  <si>
    <t xml:space="preserve">Joyce</t>
  </si>
  <si>
    <t xml:space="preserve">Moreels</t>
  </si>
  <si>
    <t xml:space="preserve">Gwendolyn</t>
  </si>
  <si>
    <t xml:space="preserve">Vandooren</t>
  </si>
  <si>
    <t xml:space="preserve">Virginie</t>
  </si>
  <si>
    <t xml:space="preserve">Culvelier</t>
  </si>
  <si>
    <t xml:space="preserve">Mady</t>
  </si>
  <si>
    <t xml:space="preserve">Hoet</t>
  </si>
  <si>
    <t xml:space="preserve">Joke</t>
  </si>
  <si>
    <t xml:space="preserve">Niveaugroep</t>
  </si>
  <si>
    <t xml:space="preserve">Soort</t>
  </si>
  <si>
    <t xml:space="preserve">Leerkracht(en)</t>
  </si>
  <si>
    <t xml:space="preserve">Aantal leerlingen</t>
  </si>
  <si>
    <t xml:space="preserve">klas B-stroom</t>
  </si>
  <si>
    <t xml:space="preserve">klasgroep</t>
  </si>
  <si>
    <t xml:space="preserve">niveaugroep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</si>
</sst>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7A7F"/>
        <bgColor rgb="FF008080"/>
      </patternFill>
    </fill>
    <fill>
      <patternFill patternType="solid">
        <fgColor rgb="FFFFF3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7F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0"/>
    <col collapsed="false" customWidth="true" hidden="false" outlineLevel="0" max="7" min="7" style="0" width="22"/>
  </cols>
  <sheetData>
    <row r="1" customFormat="false" ht="15" hidden="false" customHeight="true" outlineLevel="0" collapsed="false">
      <c r="A1" s="6" t="s">
        <v>17</v>
      </c>
      <c r="B1" s="7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</row>
    <row r="2" customFormat="false" ht="15" hidden="false" customHeight="true" outlineLevel="0" collapsed="false">
      <c r="A2" s="8" t="n">
        <v>1</v>
      </c>
      <c r="B2" s="9" t="s">
        <v>24</v>
      </c>
      <c r="C2" s="8" t="s">
        <v>25</v>
      </c>
      <c r="D2" s="8" t="s">
        <v>26</v>
      </c>
      <c r="E2" s="8" t="s">
        <v>27</v>
      </c>
      <c r="F2" s="3" t="str">
        <f aca="false">LOWER(SUBSTITUTE(SUBSTITUTE(D2," ",""),"'",""))&amp;"."&amp;LOWER(SUBSTITUTE(SUBSTITUTE(E2," ",""),"'",""))&amp;"@svsl.be"</f>
        <v>vanhecke.arthur@svsl.be</v>
      </c>
      <c r="G2" s="10" t="s">
        <v>25</v>
      </c>
    </row>
    <row r="3" customFormat="false" ht="15" hidden="false" customHeight="true" outlineLevel="0" collapsed="false">
      <c r="A3" s="8" t="n">
        <v>1</v>
      </c>
      <c r="B3" s="9" t="s">
        <v>24</v>
      </c>
      <c r="C3" s="8" t="s">
        <v>25</v>
      </c>
      <c r="D3" s="8" t="s">
        <v>28</v>
      </c>
      <c r="E3" s="8" t="s">
        <v>29</v>
      </c>
      <c r="F3" s="3" t="str">
        <f aca="false">LOWER(SUBSTITUTE(SUBSTITUTE(D3," ",""),"'",""))&amp;"."&amp;LOWER(SUBSTITUTE(SUBSTITUTE(E3," ",""),"'",""))&amp;"@svsl.be"</f>
        <v>bauwens.liam@svsl.be</v>
      </c>
      <c r="G3" s="10" t="s">
        <v>25</v>
      </c>
    </row>
    <row r="4" customFormat="false" ht="15" hidden="false" customHeight="true" outlineLevel="0" collapsed="false">
      <c r="A4" s="8" t="n">
        <v>1</v>
      </c>
      <c r="B4" s="9" t="s">
        <v>24</v>
      </c>
      <c r="C4" s="8" t="s">
        <v>25</v>
      </c>
      <c r="D4" s="8" t="s">
        <v>30</v>
      </c>
      <c r="E4" s="8" t="s">
        <v>31</v>
      </c>
      <c r="F4" s="3" t="str">
        <f aca="false">LOWER(SUBSTITUTE(SUBSTITUTE(D4," ",""),"'",""))&amp;"."&amp;LOWER(SUBSTITUTE(SUBSTITUTE(E4," ",""),"'",""))&amp;"@svsl.be"</f>
        <v>mertens.febe@svsl.be</v>
      </c>
      <c r="G4" s="10" t="s">
        <v>25</v>
      </c>
    </row>
    <row r="5" customFormat="false" ht="15" hidden="false" customHeight="true" outlineLevel="0" collapsed="false">
      <c r="A5" s="8" t="n">
        <v>1</v>
      </c>
      <c r="B5" s="9" t="s">
        <v>24</v>
      </c>
      <c r="C5" s="8" t="s">
        <v>25</v>
      </c>
      <c r="D5" s="8" t="s">
        <v>32</v>
      </c>
      <c r="E5" s="8" t="s">
        <v>33</v>
      </c>
      <c r="F5" s="3" t="str">
        <f aca="false">LOWER(SUBSTITUTE(SUBSTITUTE(D5," ",""),"'",""))&amp;"."&amp;LOWER(SUBSTITUTE(SUBSTITUTE(E5," ",""),"'",""))&amp;"@svsl.be"</f>
        <v>claes.wout@svsl.be</v>
      </c>
      <c r="G5" s="10" t="s">
        <v>25</v>
      </c>
    </row>
    <row r="6" customFormat="false" ht="15" hidden="false" customHeight="true" outlineLevel="0" collapsed="false">
      <c r="A6" s="8" t="n">
        <v>1</v>
      </c>
      <c r="B6" s="9" t="s">
        <v>34</v>
      </c>
      <c r="C6" s="8" t="s">
        <v>35</v>
      </c>
      <c r="D6" s="8" t="s">
        <v>36</v>
      </c>
      <c r="E6" s="8" t="s">
        <v>37</v>
      </c>
      <c r="F6" s="3" t="str">
        <f aca="false">LOWER(SUBSTITUTE(SUBSTITUTE(D6," ",""),"'",""))&amp;"."&amp;LOWER(SUBSTITUTE(SUBSTITUTE(E6," ",""),"'",""))&amp;"@svsl.be"</f>
        <v>jacobs.sara@svsl.be</v>
      </c>
      <c r="G6" s="10" t="s">
        <v>35</v>
      </c>
    </row>
    <row r="7" customFormat="false" ht="15" hidden="false" customHeight="true" outlineLevel="0" collapsed="false">
      <c r="A7" s="8" t="n">
        <v>1</v>
      </c>
      <c r="B7" s="9" t="s">
        <v>34</v>
      </c>
      <c r="C7" s="8" t="s">
        <v>35</v>
      </c>
      <c r="D7" s="8" t="s">
        <v>38</v>
      </c>
      <c r="E7" s="8" t="s">
        <v>39</v>
      </c>
      <c r="F7" s="3" t="str">
        <f aca="false">LOWER(SUBSTITUTE(SUBSTITUTE(D7," ",""),"'",""))&amp;"."&amp;LOWER(SUBSTITUTE(SUBSTITUTE(E7," ",""),"'",""))&amp;"@svsl.be"</f>
        <v>hermans.emma@svsl.be</v>
      </c>
      <c r="G7" s="10" t="s">
        <v>35</v>
      </c>
    </row>
    <row r="8" customFormat="false" ht="15" hidden="false" customHeight="true" outlineLevel="0" collapsed="false">
      <c r="A8" s="8" t="n">
        <v>1</v>
      </c>
      <c r="B8" s="9" t="s">
        <v>34</v>
      </c>
      <c r="C8" s="8" t="s">
        <v>35</v>
      </c>
      <c r="D8" s="8" t="s">
        <v>40</v>
      </c>
      <c r="E8" s="8" t="s">
        <v>41</v>
      </c>
      <c r="F8" s="3" t="str">
        <f aca="false">LOWER(SUBSTITUTE(SUBSTITUTE(D8," ",""),"'",""))&amp;"."&amp;LOWER(SUBSTITUTE(SUBSTITUTE(E8," ",""),"'",""))&amp;"@svsl.be"</f>
        <v>willems.jasper@svsl.be</v>
      </c>
      <c r="G8" s="10" t="s">
        <v>35</v>
      </c>
    </row>
    <row r="9" customFormat="false" ht="15" hidden="false" customHeight="true" outlineLevel="0" collapsed="false">
      <c r="A9" s="8" t="n">
        <v>1</v>
      </c>
      <c r="B9" s="9" t="s">
        <v>34</v>
      </c>
      <c r="C9" s="8" t="s">
        <v>35</v>
      </c>
      <c r="D9" s="8" t="s">
        <v>42</v>
      </c>
      <c r="E9" s="8" t="s">
        <v>43</v>
      </c>
      <c r="F9" s="3" t="str">
        <f aca="false">LOWER(SUBSTITUTE(SUBSTITUTE(D9," ",""),"'",""))&amp;"."&amp;LOWER(SUBSTITUTE(SUBSTITUTE(E9," ",""),"'",""))&amp;"@svsl.be"</f>
        <v>coppens.mila@svsl.be</v>
      </c>
      <c r="G9" s="10" t="s">
        <v>35</v>
      </c>
    </row>
    <row r="10" customFormat="false" ht="15" hidden="false" customHeight="true" outlineLevel="0" collapsed="false">
      <c r="A10" s="8" t="n">
        <v>1</v>
      </c>
      <c r="B10" s="9" t="s">
        <v>34</v>
      </c>
      <c r="C10" s="8" t="s">
        <v>44</v>
      </c>
      <c r="D10" s="8" t="s">
        <v>45</v>
      </c>
      <c r="E10" s="8" t="s">
        <v>46</v>
      </c>
      <c r="F10" s="3" t="str">
        <f aca="false">LOWER(SUBSTITUTE(SUBSTITUTE(D10," ",""),"'",""))&amp;"."&amp;LOWER(SUBSTITUTE(SUBSTITUTE(E10," ",""),"'",""))&amp;"@svsl.be"</f>
        <v>aerts.lucas@svsl.be</v>
      </c>
      <c r="G10" s="10" t="s">
        <v>44</v>
      </c>
    </row>
    <row r="11" customFormat="false" ht="15" hidden="false" customHeight="true" outlineLevel="0" collapsed="false">
      <c r="A11" s="8" t="n">
        <v>1</v>
      </c>
      <c r="B11" s="9" t="s">
        <v>34</v>
      </c>
      <c r="C11" s="8" t="s">
        <v>44</v>
      </c>
      <c r="D11" s="8" t="s">
        <v>47</v>
      </c>
      <c r="E11" s="8" t="s">
        <v>41</v>
      </c>
      <c r="F11" s="3" t="str">
        <f aca="false">LOWER(SUBSTITUTE(SUBSTITUTE(D11," ",""),"'",""))&amp;"."&amp;LOWER(SUBSTITUTE(SUBSTITUTE(E11," ",""),"'",""))&amp;"@svsl.be"</f>
        <v>baert.jasper@svsl.be</v>
      </c>
      <c r="G11" s="10" t="s">
        <v>44</v>
      </c>
    </row>
    <row r="12" customFormat="false" ht="15" hidden="false" customHeight="true" outlineLevel="0" collapsed="false">
      <c r="A12" s="8" t="n">
        <v>1</v>
      </c>
      <c r="B12" s="9" t="s">
        <v>34</v>
      </c>
      <c r="C12" s="8" t="s">
        <v>44</v>
      </c>
      <c r="D12" s="8" t="s">
        <v>36</v>
      </c>
      <c r="E12" s="8" t="s">
        <v>48</v>
      </c>
      <c r="F12" s="3" t="str">
        <f aca="false">LOWER(SUBSTITUTE(SUBSTITUTE(D12," ",""),"'",""))&amp;"."&amp;LOWER(SUBSTITUTE(SUBSTITUTE(E12," ",""),"'",""))&amp;"@svsl.be"</f>
        <v>jacobs.finn@svsl.be</v>
      </c>
      <c r="G12" s="10" t="s">
        <v>44</v>
      </c>
    </row>
    <row r="13" customFormat="false" ht="15" hidden="false" customHeight="true" outlineLevel="0" collapsed="false">
      <c r="A13" s="8" t="n">
        <v>1</v>
      </c>
      <c r="B13" s="9" t="s">
        <v>34</v>
      </c>
      <c r="C13" s="8" t="s">
        <v>44</v>
      </c>
      <c r="D13" s="8" t="s">
        <v>49</v>
      </c>
      <c r="E13" s="8" t="s">
        <v>29</v>
      </c>
      <c r="F13" s="3" t="str">
        <f aca="false">LOWER(SUBSTITUTE(SUBSTITUTE(D13," ",""),"'",""))&amp;"."&amp;LOWER(SUBSTITUTE(SUBSTITUTE(E13," ",""),"'",""))&amp;"@svsl.be"</f>
        <v>michiels.liam@svsl.be</v>
      </c>
      <c r="G13" s="10" t="s">
        <v>44</v>
      </c>
    </row>
    <row r="14" customFormat="false" ht="15" hidden="false" customHeight="true" outlineLevel="0" collapsed="false">
      <c r="A14" s="8" t="n">
        <v>1</v>
      </c>
      <c r="B14" s="9" t="s">
        <v>34</v>
      </c>
      <c r="C14" s="8" t="s">
        <v>50</v>
      </c>
      <c r="D14" s="8" t="s">
        <v>49</v>
      </c>
      <c r="E14" s="8" t="s">
        <v>39</v>
      </c>
      <c r="F14" s="3" t="str">
        <f aca="false">LOWER(SUBSTITUTE(SUBSTITUTE(D14," ",""),"'",""))&amp;"."&amp;LOWER(SUBSTITUTE(SUBSTITUTE(E14," ",""),"'",""))&amp;"@svsl.be"</f>
        <v>michiels.emma@svsl.be</v>
      </c>
      <c r="G14" s="10" t="s">
        <v>51</v>
      </c>
    </row>
    <row r="15" customFormat="false" ht="15" hidden="false" customHeight="true" outlineLevel="0" collapsed="false">
      <c r="A15" s="8" t="n">
        <v>1</v>
      </c>
      <c r="B15" s="9" t="s">
        <v>34</v>
      </c>
      <c r="C15" s="8" t="s">
        <v>50</v>
      </c>
      <c r="D15" s="8" t="s">
        <v>47</v>
      </c>
      <c r="E15" s="8" t="s">
        <v>52</v>
      </c>
      <c r="F15" s="3" t="str">
        <f aca="false">LOWER(SUBSTITUTE(SUBSTITUTE(D15," ",""),"'",""))&amp;"."&amp;LOWER(SUBSTITUTE(SUBSTITUTE(E15," ",""),"'",""))&amp;"@svsl.be"</f>
        <v>baert.nora@svsl.be</v>
      </c>
      <c r="G15" s="10" t="s">
        <v>53</v>
      </c>
    </row>
    <row r="16" customFormat="false" ht="15" hidden="false" customHeight="true" outlineLevel="0" collapsed="false">
      <c r="A16" s="8" t="n">
        <v>1</v>
      </c>
      <c r="B16" s="9" t="s">
        <v>34</v>
      </c>
      <c r="C16" s="8" t="s">
        <v>50</v>
      </c>
      <c r="D16" s="8" t="s">
        <v>54</v>
      </c>
      <c r="E16" s="8" t="s">
        <v>55</v>
      </c>
      <c r="F16" s="3" t="str">
        <f aca="false">LOWER(SUBSTITUTE(SUBSTITUTE(D16," ",""),"'",""))&amp;"."&amp;LOWER(SUBSTITUTE(SUBSTITUTE(E16," ",""),"'",""))&amp;"@svsl.be"</f>
        <v>vermeulen.lore@svsl.be</v>
      </c>
      <c r="G16" s="10" t="s">
        <v>56</v>
      </c>
    </row>
    <row r="17" customFormat="false" ht="15" hidden="false" customHeight="true" outlineLevel="0" collapsed="false">
      <c r="A17" s="8" t="n">
        <v>1</v>
      </c>
      <c r="B17" s="9" t="s">
        <v>34</v>
      </c>
      <c r="C17" s="8" t="s">
        <v>50</v>
      </c>
      <c r="D17" s="8" t="s">
        <v>57</v>
      </c>
      <c r="E17" s="8" t="s">
        <v>31</v>
      </c>
      <c r="F17" s="3" t="str">
        <f aca="false">LOWER(SUBSTITUTE(SUBSTITUTE(D17," ",""),"'",""))&amp;"."&amp;LOWER(SUBSTITUTE(SUBSTITUTE(E17," ",""),"'",""))&amp;"@svsl.be"</f>
        <v>desmedt.febe@svsl.be</v>
      </c>
      <c r="G17" s="10" t="s">
        <v>58</v>
      </c>
    </row>
    <row r="18" customFormat="false" ht="15" hidden="false" customHeight="true" outlineLevel="0" collapsed="false">
      <c r="A18" s="8" t="n">
        <v>1</v>
      </c>
      <c r="B18" s="9" t="s">
        <v>34</v>
      </c>
      <c r="C18" s="8" t="s">
        <v>59</v>
      </c>
      <c r="D18" s="8" t="s">
        <v>60</v>
      </c>
      <c r="E18" s="8" t="s">
        <v>61</v>
      </c>
      <c r="F18" s="3" t="str">
        <f aca="false">LOWER(SUBSTITUTE(SUBSTITUTE(D18," ",""),"'",""))&amp;"."&amp;LOWER(SUBSTITUTE(SUBSTITUTE(E18," ",""),"'",""))&amp;"@svsl.be"</f>
        <v>goossens.seppe@svsl.be</v>
      </c>
      <c r="G18" s="10" t="s">
        <v>62</v>
      </c>
    </row>
    <row r="19" customFormat="false" ht="15" hidden="false" customHeight="true" outlineLevel="0" collapsed="false">
      <c r="A19" s="8" t="n">
        <v>1</v>
      </c>
      <c r="B19" s="9" t="s">
        <v>34</v>
      </c>
      <c r="C19" s="8" t="s">
        <v>59</v>
      </c>
      <c r="D19" s="8" t="s">
        <v>47</v>
      </c>
      <c r="E19" s="8" t="s">
        <v>63</v>
      </c>
      <c r="F19" s="3" t="str">
        <f aca="false">LOWER(SUBSTITUTE(SUBSTITUTE(D19," ",""),"'",""))&amp;"."&amp;LOWER(SUBSTITUTE(SUBSTITUTE(E19," ",""),"'",""))&amp;"@svsl.be"</f>
        <v>baert.jules@svsl.be</v>
      </c>
      <c r="G19" s="10" t="s">
        <v>64</v>
      </c>
    </row>
    <row r="20" customFormat="false" ht="15" hidden="false" customHeight="true" outlineLevel="0" collapsed="false">
      <c r="A20" s="8" t="n">
        <v>1</v>
      </c>
      <c r="B20" s="9" t="s">
        <v>34</v>
      </c>
      <c r="C20" s="8" t="s">
        <v>59</v>
      </c>
      <c r="D20" s="8" t="s">
        <v>32</v>
      </c>
      <c r="E20" s="8" t="s">
        <v>65</v>
      </c>
      <c r="F20" s="3" t="str">
        <f aca="false">LOWER(SUBSTITUTE(SUBSTITUTE(D20," ",""),"'",""))&amp;"."&amp;LOWER(SUBSTITUTE(SUBSTITUTE(E20," ",""),"'",""))&amp;"@svsl.be"</f>
        <v>claes.elise@svsl.be</v>
      </c>
      <c r="G20" s="10" t="s">
        <v>66</v>
      </c>
    </row>
    <row r="21" customFormat="false" ht="15" hidden="false" customHeight="true" outlineLevel="0" collapsed="false">
      <c r="A21" s="8" t="n">
        <v>1</v>
      </c>
      <c r="B21" s="9" t="s">
        <v>34</v>
      </c>
      <c r="C21" s="8" t="s">
        <v>59</v>
      </c>
      <c r="D21" s="8" t="s">
        <v>67</v>
      </c>
      <c r="E21" s="8" t="s">
        <v>68</v>
      </c>
      <c r="F21" s="3" t="str">
        <f aca="false">LOWER(SUBSTITUTE(SUBSTITUTE(D21," ",""),"'",""))&amp;"."&amp;LOWER(SUBSTITUTE(SUBSTITUTE(E21," ",""),"'",""))&amp;"@svsl.be"</f>
        <v>dhondt.olivia@svsl.be</v>
      </c>
      <c r="G21" s="10" t="s">
        <v>51</v>
      </c>
    </row>
    <row r="22" customFormat="false" ht="15" hidden="false" customHeight="true" outlineLevel="0" collapsed="false">
      <c r="A22" s="8" t="n">
        <v>1</v>
      </c>
      <c r="B22" s="9" t="s">
        <v>34</v>
      </c>
      <c r="C22" s="8" t="s">
        <v>69</v>
      </c>
      <c r="D22" s="8" t="s">
        <v>47</v>
      </c>
      <c r="E22" s="8" t="s">
        <v>43</v>
      </c>
      <c r="F22" s="3" t="str">
        <f aca="false">LOWER(SUBSTITUTE(SUBSTITUTE(D22," ",""),"'",""))&amp;"."&amp;LOWER(SUBSTITUTE(SUBSTITUTE(E22," ",""),"'",""))&amp;"@svsl.be"</f>
        <v>baert.mila@svsl.be</v>
      </c>
      <c r="G22" s="10" t="s">
        <v>53</v>
      </c>
    </row>
    <row r="23" customFormat="false" ht="15" hidden="false" customHeight="true" outlineLevel="0" collapsed="false">
      <c r="A23" s="8" t="n">
        <v>1</v>
      </c>
      <c r="B23" s="9" t="s">
        <v>34</v>
      </c>
      <c r="C23" s="8" t="s">
        <v>69</v>
      </c>
      <c r="D23" s="8" t="s">
        <v>36</v>
      </c>
      <c r="E23" s="8" t="s">
        <v>70</v>
      </c>
      <c r="F23" s="3" t="str">
        <f aca="false">LOWER(SUBSTITUTE(SUBSTITUTE(D23," ",""),"'",""))&amp;"."&amp;LOWER(SUBSTITUTE(SUBSTITUTE(E23," ",""),"'",""))&amp;"@svsl.be"</f>
        <v>jacobs.louis@svsl.be</v>
      </c>
      <c r="G23" s="10" t="s">
        <v>56</v>
      </c>
    </row>
    <row r="24" customFormat="false" ht="15" hidden="false" customHeight="true" outlineLevel="0" collapsed="false">
      <c r="A24" s="8" t="n">
        <v>1</v>
      </c>
      <c r="B24" s="9" t="s">
        <v>34</v>
      </c>
      <c r="C24" s="8" t="s">
        <v>69</v>
      </c>
      <c r="D24" s="8" t="s">
        <v>71</v>
      </c>
      <c r="E24" s="8" t="s">
        <v>31</v>
      </c>
      <c r="F24" s="3" t="str">
        <f aca="false">LOWER(SUBSTITUTE(SUBSTITUTE(D24," ",""),"'",""))&amp;"."&amp;LOWER(SUBSTITUTE(SUBSTITUTE(E24," ",""),"'",""))&amp;"@svsl.be"</f>
        <v>bogaert.febe@svsl.be</v>
      </c>
      <c r="G24" s="10" t="s">
        <v>58</v>
      </c>
    </row>
    <row r="25" customFormat="false" ht="15" hidden="false" customHeight="true" outlineLevel="0" collapsed="false">
      <c r="A25" s="8" t="n">
        <v>1</v>
      </c>
      <c r="B25" s="9" t="s">
        <v>34</v>
      </c>
      <c r="C25" s="8" t="s">
        <v>69</v>
      </c>
      <c r="D25" s="8" t="s">
        <v>72</v>
      </c>
      <c r="E25" s="8" t="s">
        <v>73</v>
      </c>
      <c r="F25" s="3" t="str">
        <f aca="false">LOWER(SUBSTITUTE(SUBSTITUTE(D25," ",""),"'",""))&amp;"."&amp;LOWER(SUBSTITUTE(SUBSTITUTE(E25," ",""),"'",""))&amp;"@svsl.be"</f>
        <v>smets.julie@svsl.be</v>
      </c>
      <c r="G25" s="10" t="s">
        <v>62</v>
      </c>
    </row>
    <row r="26" customFormat="false" ht="15" hidden="false" customHeight="true" outlineLevel="0" collapsed="false">
      <c r="A26" s="8" t="n">
        <v>1</v>
      </c>
      <c r="B26" s="9" t="s">
        <v>34</v>
      </c>
      <c r="C26" s="8" t="s">
        <v>74</v>
      </c>
      <c r="D26" s="8" t="s">
        <v>75</v>
      </c>
      <c r="E26" s="8" t="s">
        <v>76</v>
      </c>
      <c r="F26" s="3" t="str">
        <f aca="false">LOWER(SUBSTITUTE(SUBSTITUTE(D26," ",""),"'",""))&amp;"."&amp;LOWER(SUBSTITUTE(SUBSTITUTE(E26," ",""),"'",""))&amp;"@svsl.be"</f>
        <v>cools.kobe@svsl.be</v>
      </c>
      <c r="G26" s="10" t="s">
        <v>64</v>
      </c>
    </row>
    <row r="27" customFormat="false" ht="15" hidden="false" customHeight="true" outlineLevel="0" collapsed="false">
      <c r="A27" s="8" t="n">
        <v>1</v>
      </c>
      <c r="B27" s="9" t="s">
        <v>34</v>
      </c>
      <c r="C27" s="8" t="s">
        <v>74</v>
      </c>
      <c r="D27" s="8" t="s">
        <v>67</v>
      </c>
      <c r="E27" s="8" t="s">
        <v>61</v>
      </c>
      <c r="F27" s="3" t="str">
        <f aca="false">LOWER(SUBSTITUTE(SUBSTITUTE(D27," ",""),"'",""))&amp;"."&amp;LOWER(SUBSTITUTE(SUBSTITUTE(E27," ",""),"'",""))&amp;"@svsl.be"</f>
        <v>dhondt.seppe@svsl.be</v>
      </c>
      <c r="G27" s="10" t="s">
        <v>66</v>
      </c>
    </row>
    <row r="28" customFormat="false" ht="15" hidden="false" customHeight="true" outlineLevel="0" collapsed="false">
      <c r="A28" s="8" t="n">
        <v>1</v>
      </c>
      <c r="B28" s="9" t="s">
        <v>34</v>
      </c>
      <c r="C28" s="8" t="s">
        <v>74</v>
      </c>
      <c r="D28" s="8" t="s">
        <v>45</v>
      </c>
      <c r="E28" s="8" t="s">
        <v>63</v>
      </c>
      <c r="F28" s="3" t="str">
        <f aca="false">LOWER(SUBSTITUTE(SUBSTITUTE(D28," ",""),"'",""))&amp;"."&amp;LOWER(SUBSTITUTE(SUBSTITUTE(E28," ",""),"'",""))&amp;"@svsl.be"</f>
        <v>aerts.jules@svsl.be</v>
      </c>
      <c r="G28" s="10" t="s">
        <v>51</v>
      </c>
    </row>
    <row r="29" customFormat="false" ht="15" hidden="false" customHeight="true" outlineLevel="0" collapsed="false">
      <c r="A29" s="8" t="n">
        <v>1</v>
      </c>
      <c r="B29" s="9" t="s">
        <v>34</v>
      </c>
      <c r="C29" s="8" t="s">
        <v>74</v>
      </c>
      <c r="D29" s="8" t="s">
        <v>77</v>
      </c>
      <c r="E29" s="8" t="s">
        <v>78</v>
      </c>
      <c r="F29" s="3" t="str">
        <f aca="false">LOWER(SUBSTITUTE(SUBSTITUTE(D29," ",""),"'",""))&amp;"."&amp;LOWER(SUBSTITUTE(SUBSTITUTE(E29," ",""),"'",""))&amp;"@svsl.be"</f>
        <v>desmet.ilias@svsl.be</v>
      </c>
      <c r="G29" s="10" t="s">
        <v>53</v>
      </c>
    </row>
    <row r="30" customFormat="false" ht="15" hidden="false" customHeight="true" outlineLevel="0" collapsed="false">
      <c r="A30" s="8" t="n">
        <v>1</v>
      </c>
      <c r="B30" s="9" t="s">
        <v>34</v>
      </c>
      <c r="C30" s="8" t="s">
        <v>79</v>
      </c>
      <c r="D30" s="8" t="s">
        <v>71</v>
      </c>
      <c r="E30" s="8" t="s">
        <v>80</v>
      </c>
      <c r="F30" s="3" t="str">
        <f aca="false">LOWER(SUBSTITUTE(SUBSTITUTE(D30," ",""),"'",""))&amp;"."&amp;LOWER(SUBSTITUTE(SUBSTITUTE(E30," ",""),"'",""))&amp;"@svsl.be"</f>
        <v>bogaert.lars@svsl.be</v>
      </c>
      <c r="G30" s="10" t="s">
        <v>56</v>
      </c>
    </row>
    <row r="31" customFormat="false" ht="15" hidden="false" customHeight="true" outlineLevel="0" collapsed="false">
      <c r="A31" s="8" t="n">
        <v>1</v>
      </c>
      <c r="B31" s="9" t="s">
        <v>34</v>
      </c>
      <c r="C31" s="8" t="s">
        <v>79</v>
      </c>
      <c r="D31" s="8" t="s">
        <v>81</v>
      </c>
      <c r="E31" s="8" t="s">
        <v>82</v>
      </c>
      <c r="F31" s="3" t="str">
        <f aca="false">LOWER(SUBSTITUTE(SUBSTITUTE(D31," ",""),"'",""))&amp;"."&amp;LOWER(SUBSTITUTE(SUBSTITUTE(E31," ",""),"'",""))&amp;"@svsl.be"</f>
        <v>segers.ella@svsl.be</v>
      </c>
      <c r="G31" s="10" t="s">
        <v>58</v>
      </c>
    </row>
    <row r="32" customFormat="false" ht="15" hidden="false" customHeight="true" outlineLevel="0" collapsed="false">
      <c r="A32" s="8" t="n">
        <v>1</v>
      </c>
      <c r="B32" s="9" t="s">
        <v>34</v>
      </c>
      <c r="C32" s="8" t="s">
        <v>79</v>
      </c>
      <c r="D32" s="8" t="s">
        <v>30</v>
      </c>
      <c r="E32" s="8" t="s">
        <v>48</v>
      </c>
      <c r="F32" s="3" t="str">
        <f aca="false">LOWER(SUBSTITUTE(SUBSTITUTE(D32," ",""),"'",""))&amp;"."&amp;LOWER(SUBSTITUTE(SUBSTITUTE(E32," ",""),"'",""))&amp;"@svsl.be"</f>
        <v>mertens.finn@svsl.be</v>
      </c>
      <c r="G32" s="10" t="s">
        <v>62</v>
      </c>
    </row>
    <row r="33" customFormat="false" ht="15" hidden="false" customHeight="true" outlineLevel="0" collapsed="false">
      <c r="A33" s="8" t="n">
        <v>1</v>
      </c>
      <c r="B33" s="9" t="s">
        <v>34</v>
      </c>
      <c r="C33" s="8" t="s">
        <v>79</v>
      </c>
      <c r="D33" s="8" t="s">
        <v>83</v>
      </c>
      <c r="E33" s="8" t="s">
        <v>55</v>
      </c>
      <c r="F33" s="3" t="str">
        <f aca="false">LOWER(SUBSTITUTE(SUBSTITUTE(D33," ",""),"'",""))&amp;"."&amp;LOWER(SUBSTITUTE(SUBSTITUTE(E33," ",""),"'",""))&amp;"@svsl.be"</f>
        <v>lievens.lore@svsl.be</v>
      </c>
      <c r="G33" s="10" t="s">
        <v>64</v>
      </c>
    </row>
    <row r="34" customFormat="false" ht="15" hidden="false" customHeight="true" outlineLevel="0" collapsed="false">
      <c r="A34" s="8" t="n">
        <v>1</v>
      </c>
      <c r="B34" s="9" t="s">
        <v>34</v>
      </c>
      <c r="C34" s="8" t="s">
        <v>84</v>
      </c>
      <c r="D34" s="8" t="s">
        <v>85</v>
      </c>
      <c r="E34" s="8" t="s">
        <v>80</v>
      </c>
      <c r="F34" s="3" t="str">
        <f aca="false">LOWER(SUBSTITUTE(SUBSTITUTE(D34," ",""),"'",""))&amp;"."&amp;LOWER(SUBSTITUTE(SUBSTITUTE(E34," ",""),"'",""))&amp;"@svsl.be"</f>
        <v>vandenbroeck.lars@svsl.be</v>
      </c>
      <c r="G34" s="10" t="s">
        <v>66</v>
      </c>
    </row>
    <row r="35" customFormat="false" ht="15" hidden="false" customHeight="true" outlineLevel="0" collapsed="false">
      <c r="A35" s="8" t="n">
        <v>1</v>
      </c>
      <c r="B35" s="9" t="s">
        <v>34</v>
      </c>
      <c r="C35" s="8" t="s">
        <v>84</v>
      </c>
      <c r="D35" s="8" t="s">
        <v>57</v>
      </c>
      <c r="E35" s="8" t="s">
        <v>86</v>
      </c>
      <c r="F35" s="3" t="str">
        <f aca="false">LOWER(SUBSTITUTE(SUBSTITUTE(D35," ",""),"'",""))&amp;"."&amp;LOWER(SUBSTITUTE(SUBSTITUTE(E35," ",""),"'",""))&amp;"@svsl.be"</f>
        <v>desmedt.milan@svsl.be</v>
      </c>
      <c r="G35" s="10" t="s">
        <v>51</v>
      </c>
    </row>
    <row r="36" customFormat="false" ht="15" hidden="false" customHeight="true" outlineLevel="0" collapsed="false">
      <c r="A36" s="8" t="n">
        <v>1</v>
      </c>
      <c r="B36" s="9" t="s">
        <v>34</v>
      </c>
      <c r="C36" s="8" t="s">
        <v>84</v>
      </c>
      <c r="D36" s="8" t="s">
        <v>42</v>
      </c>
      <c r="E36" s="8" t="s">
        <v>39</v>
      </c>
      <c r="F36" s="3" t="str">
        <f aca="false">LOWER(SUBSTITUTE(SUBSTITUTE(D36," ",""),"'",""))&amp;"."&amp;LOWER(SUBSTITUTE(SUBSTITUTE(E36," ",""),"'",""))&amp;"@svsl.be"</f>
        <v>coppens.emma@svsl.be</v>
      </c>
      <c r="G36" s="10" t="s">
        <v>53</v>
      </c>
    </row>
    <row r="37" customFormat="false" ht="15" hidden="false" customHeight="true" outlineLevel="0" collapsed="false">
      <c r="A37" s="8" t="n">
        <v>1</v>
      </c>
      <c r="B37" s="9" t="s">
        <v>34</v>
      </c>
      <c r="C37" s="8" t="s">
        <v>84</v>
      </c>
      <c r="D37" s="8" t="s">
        <v>30</v>
      </c>
      <c r="E37" s="8" t="s">
        <v>87</v>
      </c>
      <c r="F37" s="3" t="str">
        <f aca="false">LOWER(SUBSTITUTE(SUBSTITUTE(D37," ",""),"'",""))&amp;"."&amp;LOWER(SUBSTITUTE(SUBSTITUTE(E37," ",""),"'",""))&amp;"@svsl.be"</f>
        <v>mertens.robbe@svsl.be</v>
      </c>
      <c r="G37" s="10" t="s">
        <v>56</v>
      </c>
    </row>
    <row r="38" customFormat="false" ht="15" hidden="false" customHeight="true" outlineLevel="0" collapsed="false">
      <c r="A38" s="8" t="n">
        <v>2</v>
      </c>
      <c r="B38" s="9" t="s">
        <v>24</v>
      </c>
      <c r="C38" s="8" t="s">
        <v>88</v>
      </c>
      <c r="D38" s="8" t="s">
        <v>26</v>
      </c>
      <c r="E38" s="8" t="s">
        <v>80</v>
      </c>
      <c r="F38" s="3" t="str">
        <f aca="false">LOWER(SUBSTITUTE(SUBSTITUTE(D38," ",""),"'",""))&amp;"."&amp;LOWER(SUBSTITUTE(SUBSTITUTE(E38," ",""),"'",""))&amp;"@svsl.be"</f>
        <v>vanhecke.lars@svsl.be</v>
      </c>
      <c r="G38" s="10" t="s">
        <v>88</v>
      </c>
    </row>
    <row r="39" customFormat="false" ht="15" hidden="false" customHeight="true" outlineLevel="0" collapsed="false">
      <c r="A39" s="8" t="n">
        <v>2</v>
      </c>
      <c r="B39" s="9" t="s">
        <v>24</v>
      </c>
      <c r="C39" s="8" t="s">
        <v>88</v>
      </c>
      <c r="D39" s="8" t="s">
        <v>89</v>
      </c>
      <c r="E39" s="8" t="s">
        <v>86</v>
      </c>
      <c r="F39" s="3" t="str">
        <f aca="false">LOWER(SUBSTITUTE(SUBSTITUTE(D39," ",""),"'",""))&amp;"."&amp;LOWER(SUBSTITUTE(SUBSTITUTE(E39," ",""),"'",""))&amp;"@svsl.be"</f>
        <v>pauwels.milan@svsl.be</v>
      </c>
      <c r="G39" s="10" t="s">
        <v>88</v>
      </c>
    </row>
    <row r="40" customFormat="false" ht="15" hidden="false" customHeight="true" outlineLevel="0" collapsed="false">
      <c r="A40" s="8" t="n">
        <v>2</v>
      </c>
      <c r="B40" s="9" t="s">
        <v>24</v>
      </c>
      <c r="C40" s="8" t="s">
        <v>88</v>
      </c>
      <c r="D40" s="8" t="s">
        <v>75</v>
      </c>
      <c r="E40" s="8" t="s">
        <v>43</v>
      </c>
      <c r="F40" s="3" t="str">
        <f aca="false">LOWER(SUBSTITUTE(SUBSTITUTE(D40," ",""),"'",""))&amp;"."&amp;LOWER(SUBSTITUTE(SUBSTITUTE(E40," ",""),"'",""))&amp;"@svsl.be"</f>
        <v>cools.mila@svsl.be</v>
      </c>
      <c r="G40" s="10" t="s">
        <v>88</v>
      </c>
    </row>
    <row r="41" customFormat="false" ht="15" hidden="false" customHeight="true" outlineLevel="0" collapsed="false">
      <c r="A41" s="8" t="n">
        <v>2</v>
      </c>
      <c r="B41" s="9" t="s">
        <v>24</v>
      </c>
      <c r="C41" s="8" t="s">
        <v>88</v>
      </c>
      <c r="D41" s="8" t="s">
        <v>40</v>
      </c>
      <c r="E41" s="8" t="s">
        <v>90</v>
      </c>
      <c r="F41" s="3" t="str">
        <f aca="false">LOWER(SUBSTITUTE(SUBSTITUTE(D41," ",""),"'",""))&amp;"."&amp;LOWER(SUBSTITUTE(SUBSTITUTE(E41," ",""),"'",""))&amp;"@svsl.be"</f>
        <v>willems.mats@svsl.be</v>
      </c>
      <c r="G41" s="10" t="s">
        <v>88</v>
      </c>
    </row>
    <row r="42" customFormat="false" ht="15" hidden="false" customHeight="true" outlineLevel="0" collapsed="false">
      <c r="A42" s="8" t="n">
        <v>2</v>
      </c>
      <c r="B42" s="9" t="s">
        <v>34</v>
      </c>
      <c r="C42" s="8" t="s">
        <v>91</v>
      </c>
      <c r="D42" s="8" t="s">
        <v>92</v>
      </c>
      <c r="E42" s="8" t="s">
        <v>43</v>
      </c>
      <c r="F42" s="3" t="str">
        <f aca="false">LOWER(SUBSTITUTE(SUBSTITUTE(D42," ",""),"'",""))&amp;"."&amp;LOWER(SUBSTITUTE(SUBSTITUTE(E42," ",""),"'",""))&amp;"@svsl.be"</f>
        <v>vandamme.mila@svsl.be</v>
      </c>
      <c r="G42" s="10" t="s">
        <v>91</v>
      </c>
    </row>
    <row r="43" customFormat="false" ht="15" hidden="false" customHeight="true" outlineLevel="0" collapsed="false">
      <c r="A43" s="8" t="n">
        <v>2</v>
      </c>
      <c r="B43" s="9" t="s">
        <v>34</v>
      </c>
      <c r="C43" s="8" t="s">
        <v>91</v>
      </c>
      <c r="D43" s="8" t="s">
        <v>36</v>
      </c>
      <c r="E43" s="8" t="s">
        <v>61</v>
      </c>
      <c r="F43" s="3" t="str">
        <f aca="false">LOWER(SUBSTITUTE(SUBSTITUTE(D43," ",""),"'",""))&amp;"."&amp;LOWER(SUBSTITUTE(SUBSTITUTE(E43," ",""),"'",""))&amp;"@svsl.be"</f>
        <v>jacobs.seppe@svsl.be</v>
      </c>
      <c r="G43" s="10" t="s">
        <v>91</v>
      </c>
    </row>
    <row r="44" customFormat="false" ht="15" hidden="false" customHeight="true" outlineLevel="0" collapsed="false">
      <c r="A44" s="8" t="n">
        <v>2</v>
      </c>
      <c r="B44" s="9" t="s">
        <v>34</v>
      </c>
      <c r="C44" s="8" t="s">
        <v>91</v>
      </c>
      <c r="D44" s="8" t="s">
        <v>93</v>
      </c>
      <c r="E44" s="8" t="s">
        <v>94</v>
      </c>
      <c r="F44" s="3" t="str">
        <f aca="false">LOWER(SUBSTITUTE(SUBSTITUTE(D44," ",""),"'",""))&amp;"."&amp;LOWER(SUBSTITUTE(SUBSTITUTE(E44," ",""),"'",""))&amp;"@svsl.be"</f>
        <v>verstraete.ines@svsl.be</v>
      </c>
      <c r="G44" s="10" t="s">
        <v>91</v>
      </c>
    </row>
    <row r="45" customFormat="false" ht="15" hidden="false" customHeight="true" outlineLevel="0" collapsed="false">
      <c r="A45" s="8" t="n">
        <v>2</v>
      </c>
      <c r="B45" s="9" t="s">
        <v>34</v>
      </c>
      <c r="C45" s="8" t="s">
        <v>91</v>
      </c>
      <c r="D45" s="8" t="s">
        <v>95</v>
      </c>
      <c r="E45" s="8" t="s">
        <v>76</v>
      </c>
      <c r="F45" s="3" t="str">
        <f aca="false">LOWER(SUBSTITUTE(SUBSTITUTE(D45," ",""),"'",""))&amp;"."&amp;LOWER(SUBSTITUTE(SUBSTITUTE(E45," ",""),"'",""))&amp;"@svsl.be"</f>
        <v>janssens.kobe@svsl.be</v>
      </c>
      <c r="G45" s="10" t="s">
        <v>91</v>
      </c>
    </row>
    <row r="46" customFormat="false" ht="15" hidden="false" customHeight="true" outlineLevel="0" collapsed="false">
      <c r="A46" s="8" t="n">
        <v>2</v>
      </c>
      <c r="B46" s="9" t="s">
        <v>34</v>
      </c>
      <c r="C46" s="8" t="s">
        <v>96</v>
      </c>
      <c r="D46" s="8" t="s">
        <v>89</v>
      </c>
      <c r="E46" s="8" t="s">
        <v>97</v>
      </c>
      <c r="F46" s="3" t="str">
        <f aca="false">LOWER(SUBSTITUTE(SUBSTITUTE(D46," ",""),"'",""))&amp;"."&amp;LOWER(SUBSTITUTE(SUBSTITUTE(E46," ",""),"'",""))&amp;"@svsl.be"</f>
        <v>pauwels.lena@svsl.be</v>
      </c>
      <c r="G46" s="10" t="s">
        <v>96</v>
      </c>
    </row>
    <row r="47" customFormat="false" ht="15" hidden="false" customHeight="true" outlineLevel="0" collapsed="false">
      <c r="A47" s="8" t="n">
        <v>2</v>
      </c>
      <c r="B47" s="9" t="s">
        <v>34</v>
      </c>
      <c r="C47" s="8" t="s">
        <v>96</v>
      </c>
      <c r="D47" s="8" t="s">
        <v>60</v>
      </c>
      <c r="E47" s="8" t="s">
        <v>86</v>
      </c>
      <c r="F47" s="3" t="str">
        <f aca="false">LOWER(SUBSTITUTE(SUBSTITUTE(D47," ",""),"'",""))&amp;"."&amp;LOWER(SUBSTITUTE(SUBSTITUTE(E47," ",""),"'",""))&amp;"@svsl.be"</f>
        <v>goossens.milan@svsl.be</v>
      </c>
      <c r="G47" s="10" t="s">
        <v>96</v>
      </c>
    </row>
    <row r="48" customFormat="false" ht="15" hidden="false" customHeight="true" outlineLevel="0" collapsed="false">
      <c r="A48" s="8" t="n">
        <v>2</v>
      </c>
      <c r="B48" s="9" t="s">
        <v>34</v>
      </c>
      <c r="C48" s="8" t="s">
        <v>96</v>
      </c>
      <c r="D48" s="8" t="s">
        <v>54</v>
      </c>
      <c r="E48" s="8" t="s">
        <v>52</v>
      </c>
      <c r="F48" s="3" t="str">
        <f aca="false">LOWER(SUBSTITUTE(SUBSTITUTE(D48," ",""),"'",""))&amp;"."&amp;LOWER(SUBSTITUTE(SUBSTITUTE(E48," ",""),"'",""))&amp;"@svsl.be"</f>
        <v>vermeulen.nora@svsl.be</v>
      </c>
      <c r="G48" s="10" t="s">
        <v>96</v>
      </c>
    </row>
    <row r="49" customFormat="false" ht="15" hidden="false" customHeight="true" outlineLevel="0" collapsed="false">
      <c r="A49" s="8" t="n">
        <v>2</v>
      </c>
      <c r="B49" s="9" t="s">
        <v>34</v>
      </c>
      <c r="C49" s="8" t="s">
        <v>96</v>
      </c>
      <c r="D49" s="8" t="s">
        <v>45</v>
      </c>
      <c r="E49" s="8" t="s">
        <v>98</v>
      </c>
      <c r="F49" s="3" t="str">
        <f aca="false">LOWER(SUBSTITUTE(SUBSTITUTE(D49," ",""),"'",""))&amp;"."&amp;LOWER(SUBSTITUTE(SUBSTITUTE(E49," ",""),"'",""))&amp;"@svsl.be"</f>
        <v>aerts.thijs@svsl.be</v>
      </c>
      <c r="G49" s="10" t="s">
        <v>96</v>
      </c>
    </row>
    <row r="50" customFormat="false" ht="15" hidden="false" customHeight="true" outlineLevel="0" collapsed="false">
      <c r="A50" s="8" t="n">
        <v>2</v>
      </c>
      <c r="B50" s="9" t="s">
        <v>34</v>
      </c>
      <c r="C50" s="8" t="s">
        <v>99</v>
      </c>
      <c r="D50" s="8" t="s">
        <v>28</v>
      </c>
      <c r="E50" s="8" t="s">
        <v>86</v>
      </c>
      <c r="F50" s="3" t="str">
        <f aca="false">LOWER(SUBSTITUTE(SUBSTITUTE(D50," ",""),"'",""))&amp;"."&amp;LOWER(SUBSTITUTE(SUBSTITUTE(E50," ",""),"'",""))&amp;"@svsl.be"</f>
        <v>bauwens.milan@svsl.be</v>
      </c>
      <c r="G50" s="10" t="s">
        <v>100</v>
      </c>
    </row>
    <row r="51" customFormat="false" ht="15" hidden="false" customHeight="true" outlineLevel="0" collapsed="false">
      <c r="A51" s="8" t="n">
        <v>2</v>
      </c>
      <c r="B51" s="9" t="s">
        <v>34</v>
      </c>
      <c r="C51" s="8" t="s">
        <v>99</v>
      </c>
      <c r="D51" s="8" t="s">
        <v>40</v>
      </c>
      <c r="E51" s="8" t="s">
        <v>97</v>
      </c>
      <c r="F51" s="3" t="str">
        <f aca="false">LOWER(SUBSTITUTE(SUBSTITUTE(D51," ",""),"'",""))&amp;"."&amp;LOWER(SUBSTITUTE(SUBSTITUTE(E51," ",""),"'",""))&amp;"@svsl.be"</f>
        <v>willems.lena@svsl.be</v>
      </c>
      <c r="G51" s="10" t="s">
        <v>101</v>
      </c>
    </row>
    <row r="52" customFormat="false" ht="15" hidden="false" customHeight="true" outlineLevel="0" collapsed="false">
      <c r="A52" s="8" t="n">
        <v>2</v>
      </c>
      <c r="B52" s="9" t="s">
        <v>34</v>
      </c>
      <c r="C52" s="8" t="s">
        <v>99</v>
      </c>
      <c r="D52" s="8" t="s">
        <v>81</v>
      </c>
      <c r="E52" s="8" t="s">
        <v>98</v>
      </c>
      <c r="F52" s="3" t="str">
        <f aca="false">LOWER(SUBSTITUTE(SUBSTITUTE(D52," ",""),"'",""))&amp;"."&amp;LOWER(SUBSTITUTE(SUBSTITUTE(E52," ",""),"'",""))&amp;"@svsl.be"</f>
        <v>segers.thijs@svsl.be</v>
      </c>
      <c r="G52" s="10" t="s">
        <v>102</v>
      </c>
    </row>
    <row r="53" customFormat="false" ht="15" hidden="false" customHeight="true" outlineLevel="0" collapsed="false">
      <c r="A53" s="8" t="n">
        <v>2</v>
      </c>
      <c r="B53" s="9" t="s">
        <v>34</v>
      </c>
      <c r="C53" s="8" t="s">
        <v>99</v>
      </c>
      <c r="D53" s="8" t="s">
        <v>47</v>
      </c>
      <c r="E53" s="8" t="s">
        <v>90</v>
      </c>
      <c r="F53" s="3" t="str">
        <f aca="false">LOWER(SUBSTITUTE(SUBSTITUTE(D53," ",""),"'",""))&amp;"."&amp;LOWER(SUBSTITUTE(SUBSTITUTE(E53," ",""),"'",""))&amp;"@svsl.be"</f>
        <v>baert.mats@svsl.be</v>
      </c>
      <c r="G53" s="10" t="s">
        <v>103</v>
      </c>
    </row>
    <row r="54" customFormat="false" ht="15" hidden="false" customHeight="true" outlineLevel="0" collapsed="false">
      <c r="A54" s="8" t="n">
        <v>2</v>
      </c>
      <c r="B54" s="9" t="s">
        <v>34</v>
      </c>
      <c r="C54" s="8" t="s">
        <v>104</v>
      </c>
      <c r="D54" s="8" t="s">
        <v>105</v>
      </c>
      <c r="E54" s="8" t="s">
        <v>41</v>
      </c>
      <c r="F54" s="3" t="str">
        <f aca="false">LOWER(SUBSTITUTE(SUBSTITUTE(D54," ",""),"'",""))&amp;"."&amp;LOWER(SUBSTITUTE(SUBSTITUTE(E54," ",""),"'",""))&amp;"@svsl.be"</f>
        <v>wouters.jasper@svsl.be</v>
      </c>
      <c r="G54" s="10" t="s">
        <v>106</v>
      </c>
    </row>
    <row r="55" customFormat="false" ht="15" hidden="false" customHeight="true" outlineLevel="0" collapsed="false">
      <c r="A55" s="8" t="n">
        <v>2</v>
      </c>
      <c r="B55" s="9" t="s">
        <v>34</v>
      </c>
      <c r="C55" s="8" t="s">
        <v>104</v>
      </c>
      <c r="D55" s="8" t="s">
        <v>42</v>
      </c>
      <c r="E55" s="8" t="s">
        <v>94</v>
      </c>
      <c r="F55" s="3" t="str">
        <f aca="false">LOWER(SUBSTITUTE(SUBSTITUTE(D55," ",""),"'",""))&amp;"."&amp;LOWER(SUBSTITUTE(SUBSTITUTE(E55," ",""),"'",""))&amp;"@svsl.be"</f>
        <v>coppens.ines@svsl.be</v>
      </c>
      <c r="G55" s="10" t="s">
        <v>107</v>
      </c>
    </row>
    <row r="56" customFormat="false" ht="15" hidden="false" customHeight="true" outlineLevel="0" collapsed="false">
      <c r="A56" s="8" t="n">
        <v>2</v>
      </c>
      <c r="B56" s="9" t="s">
        <v>34</v>
      </c>
      <c r="C56" s="8" t="s">
        <v>104</v>
      </c>
      <c r="D56" s="8" t="s">
        <v>93</v>
      </c>
      <c r="E56" s="8" t="s">
        <v>108</v>
      </c>
      <c r="F56" s="3" t="str">
        <f aca="false">LOWER(SUBSTITUTE(SUBSTITUTE(D56," ",""),"'",""))&amp;"."&amp;LOWER(SUBSTITUTE(SUBSTITUTE(E56," ",""),"'",""))&amp;"@svsl.be"</f>
        <v>verstraete.fien@svsl.be</v>
      </c>
      <c r="G56" s="10" t="s">
        <v>109</v>
      </c>
    </row>
    <row r="57" customFormat="false" ht="15" hidden="false" customHeight="true" outlineLevel="0" collapsed="false">
      <c r="A57" s="8" t="n">
        <v>2</v>
      </c>
      <c r="B57" s="9" t="s">
        <v>34</v>
      </c>
      <c r="C57" s="8" t="s">
        <v>104</v>
      </c>
      <c r="D57" s="8" t="s">
        <v>57</v>
      </c>
      <c r="E57" s="8" t="s">
        <v>46</v>
      </c>
      <c r="F57" s="3" t="str">
        <f aca="false">LOWER(SUBSTITUTE(SUBSTITUTE(D57," ",""),"'",""))&amp;"."&amp;LOWER(SUBSTITUTE(SUBSTITUTE(E57," ",""),"'",""))&amp;"@svsl.be"</f>
        <v>desmedt.lucas@svsl.be</v>
      </c>
      <c r="G57" s="10" t="s">
        <v>100</v>
      </c>
    </row>
    <row r="58" customFormat="false" ht="15" hidden="false" customHeight="true" outlineLevel="0" collapsed="false">
      <c r="A58" s="8" t="n">
        <v>2</v>
      </c>
      <c r="B58" s="9" t="s">
        <v>34</v>
      </c>
      <c r="C58" s="8" t="s">
        <v>110</v>
      </c>
      <c r="D58" s="8" t="s">
        <v>111</v>
      </c>
      <c r="E58" s="8" t="s">
        <v>27</v>
      </c>
      <c r="F58" s="3" t="str">
        <f aca="false">LOWER(SUBSTITUTE(SUBSTITUTE(D58," ",""),"'",""))&amp;"."&amp;LOWER(SUBSTITUTE(SUBSTITUTE(E58," ",""),"'",""))&amp;"@svsl.be"</f>
        <v>dubois.arthur@svsl.be</v>
      </c>
      <c r="G58" s="10" t="s">
        <v>101</v>
      </c>
    </row>
    <row r="59" customFormat="false" ht="15" hidden="false" customHeight="true" outlineLevel="0" collapsed="false">
      <c r="A59" s="8" t="n">
        <v>2</v>
      </c>
      <c r="B59" s="9" t="s">
        <v>34</v>
      </c>
      <c r="C59" s="8" t="s">
        <v>110</v>
      </c>
      <c r="D59" s="8" t="s">
        <v>49</v>
      </c>
      <c r="E59" s="8" t="s">
        <v>108</v>
      </c>
      <c r="F59" s="3" t="str">
        <f aca="false">LOWER(SUBSTITUTE(SUBSTITUTE(D59," ",""),"'",""))&amp;"."&amp;LOWER(SUBSTITUTE(SUBSTITUTE(E59," ",""),"'",""))&amp;"@svsl.be"</f>
        <v>michiels.fien@svsl.be</v>
      </c>
      <c r="G59" s="10" t="s">
        <v>102</v>
      </c>
    </row>
    <row r="60" customFormat="false" ht="15" hidden="false" customHeight="true" outlineLevel="0" collapsed="false">
      <c r="A60" s="8" t="n">
        <v>2</v>
      </c>
      <c r="B60" s="9" t="s">
        <v>34</v>
      </c>
      <c r="C60" s="8" t="s">
        <v>110</v>
      </c>
      <c r="D60" s="8" t="s">
        <v>112</v>
      </c>
      <c r="E60" s="8" t="s">
        <v>86</v>
      </c>
      <c r="F60" s="3" t="str">
        <f aca="false">LOWER(SUBSTITUTE(SUBSTITUTE(D60," ",""),"'",""))&amp;"."&amp;LOWER(SUBSTITUTE(SUBSTITUTE(E60," ",""),"'",""))&amp;"@svsl.be"</f>
        <v>peeters.milan@svsl.be</v>
      </c>
      <c r="G60" s="10" t="s">
        <v>103</v>
      </c>
    </row>
    <row r="61" customFormat="false" ht="15" hidden="false" customHeight="true" outlineLevel="0" collapsed="false">
      <c r="A61" s="8" t="n">
        <v>2</v>
      </c>
      <c r="B61" s="9" t="s">
        <v>34</v>
      </c>
      <c r="C61" s="8" t="s">
        <v>110</v>
      </c>
      <c r="D61" s="8" t="s">
        <v>111</v>
      </c>
      <c r="E61" s="8" t="s">
        <v>113</v>
      </c>
      <c r="F61" s="3" t="str">
        <f aca="false">LOWER(SUBSTITUTE(SUBSTITUTE(D61," ",""),"'",""))&amp;"."&amp;LOWER(SUBSTITUTE(SUBSTITUTE(E61," ",""),"'",""))&amp;"@svsl.be"</f>
        <v>dubois.hanne@svsl.be</v>
      </c>
      <c r="G61" s="10" t="s">
        <v>106</v>
      </c>
    </row>
    <row r="62" customFormat="false" ht="15" hidden="false" customHeight="true" outlineLevel="0" collapsed="false">
      <c r="A62" s="8" t="n">
        <v>2</v>
      </c>
      <c r="B62" s="9" t="s">
        <v>34</v>
      </c>
      <c r="C62" s="8" t="s">
        <v>114</v>
      </c>
      <c r="D62" s="8" t="s">
        <v>54</v>
      </c>
      <c r="E62" s="8" t="s">
        <v>115</v>
      </c>
      <c r="F62" s="3" t="str">
        <f aca="false">LOWER(SUBSTITUTE(SUBSTITUTE(D62," ",""),"'",""))&amp;"."&amp;LOWER(SUBSTITUTE(SUBSTITUTE(E62," ",""),"'",""))&amp;"@svsl.be"</f>
        <v>vermeulen.lotte@svsl.be</v>
      </c>
      <c r="G62" s="10" t="s">
        <v>107</v>
      </c>
    </row>
    <row r="63" customFormat="false" ht="15" hidden="false" customHeight="true" outlineLevel="0" collapsed="false">
      <c r="A63" s="8" t="n">
        <v>2</v>
      </c>
      <c r="B63" s="9" t="s">
        <v>34</v>
      </c>
      <c r="C63" s="8" t="s">
        <v>114</v>
      </c>
      <c r="D63" s="8" t="s">
        <v>57</v>
      </c>
      <c r="E63" s="8" t="s">
        <v>55</v>
      </c>
      <c r="F63" s="3" t="str">
        <f aca="false">LOWER(SUBSTITUTE(SUBSTITUTE(D63," ",""),"'",""))&amp;"."&amp;LOWER(SUBSTITUTE(SUBSTITUTE(E63," ",""),"'",""))&amp;"@svsl.be"</f>
        <v>desmedt.lore@svsl.be</v>
      </c>
      <c r="G63" s="10" t="s">
        <v>109</v>
      </c>
    </row>
    <row r="64" customFormat="false" ht="15" hidden="false" customHeight="true" outlineLevel="0" collapsed="false">
      <c r="A64" s="8" t="n">
        <v>2</v>
      </c>
      <c r="B64" s="9" t="s">
        <v>34</v>
      </c>
      <c r="C64" s="8" t="s">
        <v>114</v>
      </c>
      <c r="D64" s="8" t="s">
        <v>116</v>
      </c>
      <c r="E64" s="8" t="s">
        <v>33</v>
      </c>
      <c r="F64" s="3" t="str">
        <f aca="false">LOWER(SUBSTITUTE(SUBSTITUTE(D64," ",""),"'",""))&amp;"."&amp;LOWER(SUBSTITUTE(SUBSTITUTE(E64," ",""),"'",""))&amp;"@svsl.be"</f>
        <v>vandenberghe.wout@svsl.be</v>
      </c>
      <c r="G64" s="10" t="s">
        <v>100</v>
      </c>
    </row>
    <row r="65" customFormat="false" ht="15" hidden="false" customHeight="true" outlineLevel="0" collapsed="false">
      <c r="A65" s="8" t="n">
        <v>2</v>
      </c>
      <c r="B65" s="9" t="s">
        <v>34</v>
      </c>
      <c r="C65" s="8" t="s">
        <v>114</v>
      </c>
      <c r="D65" s="8" t="s">
        <v>26</v>
      </c>
      <c r="E65" s="8" t="s">
        <v>52</v>
      </c>
      <c r="F65" s="3" t="str">
        <f aca="false">LOWER(SUBSTITUTE(SUBSTITUTE(D65," ",""),"'",""))&amp;"."&amp;LOWER(SUBSTITUTE(SUBSTITUTE(E65," ",""),"'",""))&amp;"@svsl.be"</f>
        <v>vanhecke.nora@svsl.be</v>
      </c>
      <c r="G65" s="10" t="s">
        <v>101</v>
      </c>
    </row>
    <row r="66" customFormat="false" ht="15" hidden="false" customHeight="true" outlineLevel="0" collapsed="false">
      <c r="A66" s="8" t="n">
        <v>2</v>
      </c>
      <c r="B66" s="9" t="s">
        <v>34</v>
      </c>
      <c r="C66" s="8" t="s">
        <v>117</v>
      </c>
      <c r="D66" s="8" t="s">
        <v>83</v>
      </c>
      <c r="E66" s="8" t="s">
        <v>29</v>
      </c>
      <c r="F66" s="3" t="str">
        <f aca="false">LOWER(SUBSTITUTE(SUBSTITUTE(D66," ",""),"'",""))&amp;"."&amp;LOWER(SUBSTITUTE(SUBSTITUTE(E66," ",""),"'",""))&amp;"@svsl.be"</f>
        <v>lievens.liam@svsl.be</v>
      </c>
      <c r="G66" s="10" t="s">
        <v>102</v>
      </c>
    </row>
    <row r="67" customFormat="false" ht="15" hidden="false" customHeight="true" outlineLevel="0" collapsed="false">
      <c r="A67" s="8" t="n">
        <v>2</v>
      </c>
      <c r="B67" s="9" t="s">
        <v>34</v>
      </c>
      <c r="C67" s="8" t="s">
        <v>117</v>
      </c>
      <c r="D67" s="8" t="s">
        <v>75</v>
      </c>
      <c r="E67" s="8" t="s">
        <v>87</v>
      </c>
      <c r="F67" s="3" t="str">
        <f aca="false">LOWER(SUBSTITUTE(SUBSTITUTE(D67," ",""),"'",""))&amp;"."&amp;LOWER(SUBSTITUTE(SUBSTITUTE(E67," ",""),"'",""))&amp;"@svsl.be"</f>
        <v>cools.robbe@svsl.be</v>
      </c>
      <c r="G67" s="10" t="s">
        <v>103</v>
      </c>
    </row>
    <row r="68" customFormat="false" ht="15" hidden="false" customHeight="true" outlineLevel="0" collapsed="false">
      <c r="A68" s="8" t="n">
        <v>2</v>
      </c>
      <c r="B68" s="9" t="s">
        <v>34</v>
      </c>
      <c r="C68" s="8" t="s">
        <v>117</v>
      </c>
      <c r="D68" s="8" t="s">
        <v>28</v>
      </c>
      <c r="E68" s="8" t="s">
        <v>98</v>
      </c>
      <c r="F68" s="3" t="str">
        <f aca="false">LOWER(SUBSTITUTE(SUBSTITUTE(D68," ",""),"'",""))&amp;"."&amp;LOWER(SUBSTITUTE(SUBSTITUTE(E68," ",""),"'",""))&amp;"@svsl.be"</f>
        <v>bauwens.thijs@svsl.be</v>
      </c>
      <c r="G68" s="10" t="s">
        <v>106</v>
      </c>
    </row>
    <row r="69" customFormat="false" ht="15" hidden="false" customHeight="true" outlineLevel="0" collapsed="false">
      <c r="A69" s="8" t="n">
        <v>2</v>
      </c>
      <c r="B69" s="9" t="s">
        <v>34</v>
      </c>
      <c r="C69" s="8" t="s">
        <v>117</v>
      </c>
      <c r="D69" s="8" t="s">
        <v>32</v>
      </c>
      <c r="E69" s="8" t="s">
        <v>118</v>
      </c>
      <c r="F69" s="3" t="str">
        <f aca="false">LOWER(SUBSTITUTE(SUBSTITUTE(D69," ",""),"'",""))&amp;"."&amp;LOWER(SUBSTITUTE(SUBSTITUTE(E69," ",""),"'",""))&amp;"@svsl.be"</f>
        <v>claes.yasmine@svsl.be</v>
      </c>
      <c r="G69" s="10" t="s">
        <v>107</v>
      </c>
    </row>
    <row r="70" customFormat="false" ht="15" hidden="false" customHeight="true" outlineLevel="0" collapsed="false">
      <c r="A70" s="8" t="n">
        <v>2</v>
      </c>
      <c r="B70" s="9" t="s">
        <v>34</v>
      </c>
      <c r="C70" s="8" t="s">
        <v>119</v>
      </c>
      <c r="D70" s="8" t="s">
        <v>120</v>
      </c>
      <c r="E70" s="8" t="s">
        <v>43</v>
      </c>
      <c r="F70" s="3" t="str">
        <f aca="false">LOWER(SUBSTITUTE(SUBSTITUTE(D70," ",""),"'",""))&amp;"."&amp;LOWER(SUBSTITUTE(SUBSTITUTE(E70," ",""),"'",""))&amp;"@svsl.be"</f>
        <v>lambert.mila@svsl.be</v>
      </c>
      <c r="G70" s="10" t="s">
        <v>109</v>
      </c>
    </row>
    <row r="71" customFormat="false" ht="15" hidden="false" customHeight="true" outlineLevel="0" collapsed="false">
      <c r="A71" s="8" t="n">
        <v>2</v>
      </c>
      <c r="B71" s="9" t="s">
        <v>34</v>
      </c>
      <c r="C71" s="8" t="s">
        <v>119</v>
      </c>
      <c r="D71" s="8" t="s">
        <v>38</v>
      </c>
      <c r="E71" s="8" t="s">
        <v>121</v>
      </c>
      <c r="F71" s="3" t="str">
        <f aca="false">LOWER(SUBSTITUTE(SUBSTITUTE(D71," ",""),"'",""))&amp;"."&amp;LOWER(SUBSTITUTE(SUBSTITUTE(E71," ",""),"'",""))&amp;"@svsl.be"</f>
        <v>hermans.marie@svsl.be</v>
      </c>
      <c r="G71" s="10" t="s">
        <v>100</v>
      </c>
    </row>
    <row r="72" customFormat="false" ht="15" hidden="false" customHeight="true" outlineLevel="0" collapsed="false">
      <c r="A72" s="8" t="n">
        <v>2</v>
      </c>
      <c r="B72" s="9" t="s">
        <v>34</v>
      </c>
      <c r="C72" s="8" t="s">
        <v>119</v>
      </c>
      <c r="D72" s="8" t="s">
        <v>85</v>
      </c>
      <c r="E72" s="8" t="s">
        <v>48</v>
      </c>
      <c r="F72" s="3" t="str">
        <f aca="false">LOWER(SUBSTITUTE(SUBSTITUTE(D72," ",""),"'",""))&amp;"."&amp;LOWER(SUBSTITUTE(SUBSTITUTE(E72," ",""),"'",""))&amp;"@svsl.be"</f>
        <v>vandenbroeck.finn@svsl.be</v>
      </c>
      <c r="G72" s="10" t="s">
        <v>101</v>
      </c>
    </row>
    <row r="73" customFormat="false" ht="15" hidden="false" customHeight="true" outlineLevel="0" collapsed="false">
      <c r="A73" s="8" t="n">
        <v>2</v>
      </c>
      <c r="B73" s="9" t="s">
        <v>34</v>
      </c>
      <c r="C73" s="8" t="s">
        <v>119</v>
      </c>
      <c r="D73" s="8" t="s">
        <v>122</v>
      </c>
      <c r="E73" s="8" t="s">
        <v>29</v>
      </c>
      <c r="F73" s="3" t="str">
        <f aca="false">LOWER(SUBSTITUTE(SUBSTITUTE(D73," ",""),"'",""))&amp;"."&amp;LOWER(SUBSTITUTE(SUBSTITUTE(E73," ",""),"'",""))&amp;"@svsl.be"</f>
        <v>martens.liam@svsl.be</v>
      </c>
      <c r="G73" s="1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5" min="5" style="1" width="46"/>
  </cols>
  <sheetData>
    <row r="1" customFormat="false" ht="1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123</v>
      </c>
      <c r="E1" s="6" t="s">
        <v>124</v>
      </c>
    </row>
    <row r="2" customFormat="false" ht="15" hidden="false" customHeight="true" outlineLevel="0" collapsed="false">
      <c r="A2" s="3" t="s">
        <v>125</v>
      </c>
      <c r="B2" s="3" t="s">
        <v>126</v>
      </c>
      <c r="C2" s="11" t="str">
        <f aca="false">LOWER(SUBSTITUTE(SUBSTITUTE(A2," ",""),"'",""))&amp;"."&amp;LOWER(SUBSTITUTE(SUBSTITUTE(B2," ",""),"'",""))&amp;"@svsl.be"</f>
        <v>vanparijs.frank@svsl.be</v>
      </c>
      <c r="D2" s="10" t="s">
        <v>127</v>
      </c>
      <c r="E2" s="10"/>
    </row>
    <row r="3" customFormat="false" ht="15" hidden="false" customHeight="true" outlineLevel="0" collapsed="false">
      <c r="A3" s="3" t="s">
        <v>128</v>
      </c>
      <c r="B3" s="3" t="s">
        <v>129</v>
      </c>
      <c r="C3" s="11" t="str">
        <f aca="false">LOWER(SUBSTITUTE(SUBSTITUTE(A3," ",""),"'",""))&amp;"."&amp;LOWER(SUBSTITUTE(SUBSTITUTE(B3," ",""),"'",""))&amp;"@svsl.be"</f>
        <v>vandaele.tom@svsl.be</v>
      </c>
      <c r="D3" s="10" t="s">
        <v>127</v>
      </c>
      <c r="E3" s="10"/>
    </row>
    <row r="4" customFormat="false" ht="15" hidden="false" customHeight="true" outlineLevel="0" collapsed="false">
      <c r="A4" s="3" t="s">
        <v>130</v>
      </c>
      <c r="B4" s="3" t="s">
        <v>131</v>
      </c>
      <c r="C4" s="11" t="str">
        <f aca="false">LOWER(SUBSTITUTE(SUBSTITUTE(A4," ",""),"'",""))&amp;"."&amp;LOWER(SUBSTITUTE(SUBSTITUTE(B4," ",""),"'",""))&amp;"@svsl.be"</f>
        <v>dejaeger.jeroen@svsl.be</v>
      </c>
      <c r="D4" s="10" t="s">
        <v>132</v>
      </c>
      <c r="E4" s="10" t="s">
        <v>133</v>
      </c>
    </row>
    <row r="5" customFormat="false" ht="15" hidden="false" customHeight="true" outlineLevel="0" collapsed="false">
      <c r="A5" s="3" t="s">
        <v>134</v>
      </c>
      <c r="B5" s="3" t="s">
        <v>135</v>
      </c>
      <c r="C5" s="11" t="str">
        <f aca="false">LOWER(SUBSTITUTE(SUBSTITUTE(A5," ",""),"'",""))&amp;"."&amp;LOWER(SUBSTITUTE(SUBSTITUTE(B5," ",""),"'",""))&amp;"@svsl.be"</f>
        <v>desmet.joyce@svsl.be</v>
      </c>
      <c r="D5" s="10" t="s">
        <v>127</v>
      </c>
      <c r="E5" s="10"/>
    </row>
    <row r="6" customFormat="false" ht="15" hidden="false" customHeight="true" outlineLevel="0" collapsed="false">
      <c r="A6" s="3" t="s">
        <v>136</v>
      </c>
      <c r="B6" s="3" t="s">
        <v>137</v>
      </c>
      <c r="C6" s="11" t="str">
        <f aca="false">LOWER(SUBSTITUTE(SUBSTITUTE(A6," ",""),"'",""))&amp;"."&amp;LOWER(SUBSTITUTE(SUBSTITUTE(B6," ",""),"'",""))&amp;"@svsl.be"</f>
        <v>moreels.gwendolyn@svsl.be</v>
      </c>
      <c r="D6" s="10" t="s">
        <v>127</v>
      </c>
      <c r="E6" s="10"/>
    </row>
    <row r="7" customFormat="false" ht="15" hidden="false" customHeight="true" outlineLevel="0" collapsed="false">
      <c r="A7" s="3" t="s">
        <v>138</v>
      </c>
      <c r="B7" s="3" t="s">
        <v>139</v>
      </c>
      <c r="C7" s="11" t="str">
        <f aca="false">LOWER(SUBSTITUTE(SUBSTITUTE(A7," ",""),"'",""))&amp;"."&amp;LOWER(SUBSTITUTE(SUBSTITUTE(B7," ",""),"'",""))&amp;"@svsl.be"</f>
        <v>vandooren.virginie@svsl.be</v>
      </c>
      <c r="D7" s="10" t="s">
        <v>127</v>
      </c>
      <c r="E7" s="10"/>
    </row>
    <row r="8" customFormat="false" ht="15" hidden="false" customHeight="true" outlineLevel="0" collapsed="false">
      <c r="A8" s="3" t="s">
        <v>140</v>
      </c>
      <c r="B8" s="3" t="s">
        <v>141</v>
      </c>
      <c r="C8" s="11" t="str">
        <f aca="false">LOWER(SUBSTITUTE(SUBSTITUTE(A8," ",""),"'",""))&amp;"."&amp;LOWER(SUBSTITUTE(SUBSTITUTE(B8," ",""),"'",""))&amp;"@svsl.be"</f>
        <v>culvelier.mady@svsl.be</v>
      </c>
      <c r="D8" s="10" t="s">
        <v>127</v>
      </c>
      <c r="E8" s="10"/>
    </row>
    <row r="9" customFormat="false" ht="15" hidden="false" customHeight="true" outlineLevel="0" collapsed="false">
      <c r="A9" s="3" t="s">
        <v>142</v>
      </c>
      <c r="B9" s="3" t="s">
        <v>143</v>
      </c>
      <c r="C9" s="11" t="str">
        <f aca="false">LOWER(SUBSTITUTE(SUBSTITUTE(A9," ",""),"'",""))&amp;"."&amp;LOWER(SUBSTITUTE(SUBSTITUTE(B9," ",""),"'",""))&amp;"@svsl.be"</f>
        <v>hoet.joke@svsl.be</v>
      </c>
      <c r="D9" s="10" t="s">
        <v>127</v>
      </c>
      <c r="E9" s="10"/>
    </row>
  </sheetData>
  <dataValidations count="1">
    <dataValidation allowBlank="false" errorStyle="stop" operator="between" showDropDown="false" showErrorMessage="false" showInputMessage="false" sqref="D2:D9" type="list">
      <formula1>"beheerder,leerkracht"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0" width="18"/>
  </cols>
  <sheetData>
    <row r="1" customFormat="false" ht="15" hidden="false" customHeight="true" outlineLevel="0" collapsed="false">
      <c r="A1" s="6" t="s">
        <v>17</v>
      </c>
      <c r="B1" s="7" t="s">
        <v>18</v>
      </c>
      <c r="C1" s="6" t="s">
        <v>144</v>
      </c>
      <c r="D1" s="6" t="s">
        <v>145</v>
      </c>
      <c r="E1" s="6" t="s">
        <v>146</v>
      </c>
      <c r="F1" s="6" t="s">
        <v>147</v>
      </c>
    </row>
    <row r="2" customFormat="false" ht="15" hidden="false" customHeight="true" outlineLevel="0" collapsed="false">
      <c r="A2" s="3" t="n">
        <v>1</v>
      </c>
      <c r="B2" s="5" t="s">
        <v>24</v>
      </c>
      <c r="C2" s="3" t="s">
        <v>25</v>
      </c>
      <c r="D2" s="3" t="s">
        <v>148</v>
      </c>
      <c r="E2" s="12"/>
      <c r="F2" s="3" t="n">
        <f aca="false">COUNTIF(Leerlingen!$G$2:$G$73,C2)</f>
        <v>4</v>
      </c>
    </row>
    <row r="3" customFormat="false" ht="15" hidden="false" customHeight="true" outlineLevel="0" collapsed="false">
      <c r="A3" s="3" t="n">
        <v>1</v>
      </c>
      <c r="B3" s="5" t="s">
        <v>34</v>
      </c>
      <c r="C3" s="3" t="s">
        <v>35</v>
      </c>
      <c r="D3" s="3" t="s">
        <v>149</v>
      </c>
      <c r="E3" s="12"/>
      <c r="F3" s="3" t="n">
        <f aca="false">COUNTIF(Leerlingen!$G$2:$G$73,C3)</f>
        <v>4</v>
      </c>
    </row>
    <row r="4" customFormat="false" ht="15" hidden="false" customHeight="true" outlineLevel="0" collapsed="false">
      <c r="A4" s="3" t="n">
        <v>1</v>
      </c>
      <c r="B4" s="5" t="s">
        <v>34</v>
      </c>
      <c r="C4" s="3" t="s">
        <v>44</v>
      </c>
      <c r="D4" s="3" t="s">
        <v>149</v>
      </c>
      <c r="E4" s="12"/>
      <c r="F4" s="3" t="n">
        <f aca="false">COUNTIF(Leerlingen!$G$2:$G$73,C4)</f>
        <v>4</v>
      </c>
    </row>
    <row r="5" customFormat="false" ht="15" hidden="false" customHeight="true" outlineLevel="0" collapsed="false">
      <c r="A5" s="3" t="n">
        <v>1</v>
      </c>
      <c r="B5" s="5" t="s">
        <v>34</v>
      </c>
      <c r="C5" s="3" t="s">
        <v>51</v>
      </c>
      <c r="D5" s="3" t="s">
        <v>150</v>
      </c>
      <c r="E5" s="12"/>
      <c r="F5" s="3" t="n">
        <f aca="false">COUNTIF(Leerlingen!$G$2:$G$73,C5)</f>
        <v>4</v>
      </c>
    </row>
    <row r="6" customFormat="false" ht="15" hidden="false" customHeight="true" outlineLevel="0" collapsed="false">
      <c r="A6" s="3" t="n">
        <v>1</v>
      </c>
      <c r="B6" s="5" t="s">
        <v>34</v>
      </c>
      <c r="C6" s="3" t="s">
        <v>53</v>
      </c>
      <c r="D6" s="3" t="s">
        <v>150</v>
      </c>
      <c r="E6" s="12"/>
      <c r="F6" s="3" t="n">
        <f aca="false">COUNTIF(Leerlingen!$G$2:$G$73,C6)</f>
        <v>4</v>
      </c>
    </row>
    <row r="7" customFormat="false" ht="15" hidden="false" customHeight="true" outlineLevel="0" collapsed="false">
      <c r="A7" s="3" t="n">
        <v>1</v>
      </c>
      <c r="B7" s="5" t="s">
        <v>34</v>
      </c>
      <c r="C7" s="3" t="s">
        <v>56</v>
      </c>
      <c r="D7" s="3" t="s">
        <v>150</v>
      </c>
      <c r="E7" s="12"/>
      <c r="F7" s="3" t="n">
        <f aca="false">COUNTIF(Leerlingen!$G$2:$G$73,C7)</f>
        <v>4</v>
      </c>
    </row>
    <row r="8" customFormat="false" ht="15" hidden="false" customHeight="true" outlineLevel="0" collapsed="false">
      <c r="A8" s="3" t="n">
        <v>1</v>
      </c>
      <c r="B8" s="5" t="s">
        <v>34</v>
      </c>
      <c r="C8" s="3" t="s">
        <v>58</v>
      </c>
      <c r="D8" s="3" t="s">
        <v>150</v>
      </c>
      <c r="E8" s="12"/>
      <c r="F8" s="3" t="n">
        <f aca="false">COUNTIF(Leerlingen!$G$2:$G$73,C8)</f>
        <v>3</v>
      </c>
    </row>
    <row r="9" customFormat="false" ht="15" hidden="false" customHeight="true" outlineLevel="0" collapsed="false">
      <c r="A9" s="3" t="n">
        <v>1</v>
      </c>
      <c r="B9" s="5" t="s">
        <v>34</v>
      </c>
      <c r="C9" s="3" t="s">
        <v>62</v>
      </c>
      <c r="D9" s="3" t="s">
        <v>150</v>
      </c>
      <c r="E9" s="12"/>
      <c r="F9" s="3" t="n">
        <f aca="false">COUNTIF(Leerlingen!$G$2:$G$73,C9)</f>
        <v>3</v>
      </c>
    </row>
    <row r="10" customFormat="false" ht="15" hidden="false" customHeight="true" outlineLevel="0" collapsed="false">
      <c r="A10" s="3" t="n">
        <v>1</v>
      </c>
      <c r="B10" s="5" t="s">
        <v>34</v>
      </c>
      <c r="C10" s="3" t="s">
        <v>64</v>
      </c>
      <c r="D10" s="3" t="s">
        <v>150</v>
      </c>
      <c r="E10" s="12"/>
      <c r="F10" s="3" t="n">
        <f aca="false">COUNTIF(Leerlingen!$G$2:$G$73,C10)</f>
        <v>3</v>
      </c>
    </row>
    <row r="11" customFormat="false" ht="15" hidden="false" customHeight="true" outlineLevel="0" collapsed="false">
      <c r="A11" s="3" t="n">
        <v>1</v>
      </c>
      <c r="B11" s="5" t="s">
        <v>34</v>
      </c>
      <c r="C11" s="3" t="s">
        <v>66</v>
      </c>
      <c r="D11" s="3" t="s">
        <v>150</v>
      </c>
      <c r="E11" s="12"/>
      <c r="F11" s="3" t="n">
        <f aca="false">COUNTIF(Leerlingen!$G$2:$G$73,C11)</f>
        <v>3</v>
      </c>
    </row>
    <row r="12" customFormat="false" ht="15" hidden="false" customHeight="true" outlineLevel="0" collapsed="false">
      <c r="A12" s="3" t="n">
        <v>2</v>
      </c>
      <c r="B12" s="5" t="s">
        <v>24</v>
      </c>
      <c r="C12" s="3" t="s">
        <v>88</v>
      </c>
      <c r="D12" s="3" t="s">
        <v>148</v>
      </c>
      <c r="E12" s="12"/>
      <c r="F12" s="3" t="n">
        <f aca="false">COUNTIF(Leerlingen!$G$2:$G$73,C12)</f>
        <v>4</v>
      </c>
    </row>
    <row r="13" customFormat="false" ht="15" hidden="false" customHeight="true" outlineLevel="0" collapsed="false">
      <c r="A13" s="3" t="n">
        <v>2</v>
      </c>
      <c r="B13" s="5" t="s">
        <v>34</v>
      </c>
      <c r="C13" s="3" t="s">
        <v>91</v>
      </c>
      <c r="D13" s="3" t="s">
        <v>149</v>
      </c>
      <c r="E13" s="12"/>
      <c r="F13" s="3" t="n">
        <f aca="false">COUNTIF(Leerlingen!$G$2:$G$73,C13)</f>
        <v>4</v>
      </c>
    </row>
    <row r="14" customFormat="false" ht="15" hidden="false" customHeight="true" outlineLevel="0" collapsed="false">
      <c r="A14" s="3" t="n">
        <v>2</v>
      </c>
      <c r="B14" s="5" t="s">
        <v>34</v>
      </c>
      <c r="C14" s="3" t="s">
        <v>96</v>
      </c>
      <c r="D14" s="3" t="s">
        <v>149</v>
      </c>
      <c r="E14" s="12"/>
      <c r="F14" s="3" t="n">
        <f aca="false">COUNTIF(Leerlingen!$G$2:$G$73,C14)</f>
        <v>4</v>
      </c>
    </row>
    <row r="15" customFormat="false" ht="15" hidden="false" customHeight="true" outlineLevel="0" collapsed="false">
      <c r="A15" s="3" t="n">
        <v>2</v>
      </c>
      <c r="B15" s="5" t="s">
        <v>34</v>
      </c>
      <c r="C15" s="3" t="s">
        <v>106</v>
      </c>
      <c r="D15" s="3" t="s">
        <v>150</v>
      </c>
      <c r="E15" s="12"/>
      <c r="F15" s="3" t="n">
        <f aca="false">COUNTIF(Leerlingen!$G$2:$G$73,C15)</f>
        <v>3</v>
      </c>
    </row>
    <row r="16" customFormat="false" ht="15" hidden="false" customHeight="true" outlineLevel="0" collapsed="false">
      <c r="A16" s="3" t="n">
        <v>2</v>
      </c>
      <c r="B16" s="5" t="s">
        <v>34</v>
      </c>
      <c r="C16" s="3" t="s">
        <v>107</v>
      </c>
      <c r="D16" s="3" t="s">
        <v>150</v>
      </c>
      <c r="E16" s="12"/>
      <c r="F16" s="3" t="n">
        <f aca="false">COUNTIF(Leerlingen!$G$2:$G$73,C16)</f>
        <v>3</v>
      </c>
    </row>
    <row r="17" customFormat="false" ht="15" hidden="false" customHeight="true" outlineLevel="0" collapsed="false">
      <c r="A17" s="3" t="n">
        <v>2</v>
      </c>
      <c r="B17" s="5" t="s">
        <v>34</v>
      </c>
      <c r="C17" s="3" t="s">
        <v>109</v>
      </c>
      <c r="D17" s="3" t="s">
        <v>150</v>
      </c>
      <c r="E17" s="12"/>
      <c r="F17" s="3" t="n">
        <f aca="false">COUNTIF(Leerlingen!$G$2:$G$73,C17)</f>
        <v>3</v>
      </c>
    </row>
    <row r="18" customFormat="false" ht="15" hidden="false" customHeight="true" outlineLevel="0" collapsed="false">
      <c r="A18" s="3" t="n">
        <v>2</v>
      </c>
      <c r="B18" s="5" t="s">
        <v>34</v>
      </c>
      <c r="C18" s="3" t="s">
        <v>100</v>
      </c>
      <c r="D18" s="3" t="s">
        <v>150</v>
      </c>
      <c r="E18" s="12"/>
      <c r="F18" s="3" t="n">
        <f aca="false">COUNTIF(Leerlingen!$G$2:$G$73,C18)</f>
        <v>4</v>
      </c>
    </row>
    <row r="19" customFormat="false" ht="15" hidden="false" customHeight="true" outlineLevel="0" collapsed="false">
      <c r="A19" s="3" t="n">
        <v>2</v>
      </c>
      <c r="B19" s="5" t="s">
        <v>34</v>
      </c>
      <c r="C19" s="3" t="s">
        <v>101</v>
      </c>
      <c r="D19" s="3" t="s">
        <v>150</v>
      </c>
      <c r="E19" s="12"/>
      <c r="F19" s="3" t="n">
        <f aca="false">COUNTIF(Leerlingen!$G$2:$G$73,C19)</f>
        <v>4</v>
      </c>
    </row>
    <row r="20" customFormat="false" ht="15" hidden="false" customHeight="true" outlineLevel="0" collapsed="false">
      <c r="A20" s="3" t="n">
        <v>2</v>
      </c>
      <c r="B20" s="5" t="s">
        <v>34</v>
      </c>
      <c r="C20" s="3" t="s">
        <v>102</v>
      </c>
      <c r="D20" s="3" t="s">
        <v>150</v>
      </c>
      <c r="E20" s="12"/>
      <c r="F20" s="3" t="n">
        <f aca="false">COUNTIF(Leerlingen!$G$2:$G$73,C20)</f>
        <v>4</v>
      </c>
    </row>
    <row r="21" customFormat="false" ht="15" hidden="false" customHeight="true" outlineLevel="0" collapsed="false">
      <c r="A21" s="3" t="n">
        <v>2</v>
      </c>
      <c r="B21" s="5" t="s">
        <v>34</v>
      </c>
      <c r="C21" s="3" t="s">
        <v>103</v>
      </c>
      <c r="D21" s="3" t="s">
        <v>150</v>
      </c>
      <c r="E21" s="12"/>
      <c r="F21" s="3" t="n">
        <f aca="false">COUNTIF(Leerlingen!$G$2:$G$73,C21)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0"/>
    <col collapsed="false" customWidth="true" hidden="false" outlineLevel="0" max="4" min="4" style="0" width="18"/>
  </cols>
  <sheetData>
    <row r="1" customFormat="false" ht="15" hidden="false" customHeight="true" outlineLevel="0" collapsed="false">
      <c r="A1" s="6" t="s">
        <v>17</v>
      </c>
      <c r="B1" s="7" t="s">
        <v>18</v>
      </c>
      <c r="C1" s="6" t="s">
        <v>19</v>
      </c>
      <c r="D1" s="6" t="s">
        <v>147</v>
      </c>
    </row>
    <row r="2" customFormat="false" ht="15" hidden="false" customHeight="true" outlineLevel="0" collapsed="false">
      <c r="A2" s="3" t="n">
        <v>1</v>
      </c>
      <c r="B2" s="5" t="s">
        <v>24</v>
      </c>
      <c r="C2" s="3" t="s">
        <v>25</v>
      </c>
      <c r="D2" s="3" t="n">
        <f aca="false">COUNTIF(Leerlingen!$C$2:$C$73,C2)</f>
        <v>4</v>
      </c>
    </row>
    <row r="3" customFormat="false" ht="15" hidden="false" customHeight="true" outlineLevel="0" collapsed="false">
      <c r="A3" s="3" t="n">
        <v>1</v>
      </c>
      <c r="B3" s="5" t="s">
        <v>34</v>
      </c>
      <c r="C3" s="3" t="s">
        <v>35</v>
      </c>
      <c r="D3" s="3" t="n">
        <f aca="false">COUNTIF(Leerlingen!$C$2:$C$73,C3)</f>
        <v>4</v>
      </c>
    </row>
    <row r="4" customFormat="false" ht="15" hidden="false" customHeight="true" outlineLevel="0" collapsed="false">
      <c r="A4" s="3" t="n">
        <v>1</v>
      </c>
      <c r="B4" s="5" t="s">
        <v>34</v>
      </c>
      <c r="C4" s="3" t="s">
        <v>44</v>
      </c>
      <c r="D4" s="3" t="n">
        <f aca="false">COUNTIF(Leerlingen!$C$2:$C$73,C4)</f>
        <v>4</v>
      </c>
    </row>
    <row r="5" customFormat="false" ht="15" hidden="false" customHeight="true" outlineLevel="0" collapsed="false">
      <c r="A5" s="3" t="n">
        <v>1</v>
      </c>
      <c r="B5" s="5" t="s">
        <v>34</v>
      </c>
      <c r="C5" s="3" t="s">
        <v>50</v>
      </c>
      <c r="D5" s="3" t="n">
        <f aca="false">COUNTIF(Leerlingen!$C$2:$C$73,C5)</f>
        <v>4</v>
      </c>
    </row>
    <row r="6" customFormat="false" ht="15" hidden="false" customHeight="true" outlineLevel="0" collapsed="false">
      <c r="A6" s="3" t="n">
        <v>1</v>
      </c>
      <c r="B6" s="5" t="s">
        <v>34</v>
      </c>
      <c r="C6" s="3" t="s">
        <v>59</v>
      </c>
      <c r="D6" s="3" t="n">
        <f aca="false">COUNTIF(Leerlingen!$C$2:$C$73,C6)</f>
        <v>4</v>
      </c>
    </row>
    <row r="7" customFormat="false" ht="15" hidden="false" customHeight="true" outlineLevel="0" collapsed="false">
      <c r="A7" s="3" t="n">
        <v>1</v>
      </c>
      <c r="B7" s="5" t="s">
        <v>34</v>
      </c>
      <c r="C7" s="3" t="s">
        <v>69</v>
      </c>
      <c r="D7" s="3" t="n">
        <f aca="false">COUNTIF(Leerlingen!$C$2:$C$73,C7)</f>
        <v>4</v>
      </c>
    </row>
    <row r="8" customFormat="false" ht="15" hidden="false" customHeight="true" outlineLevel="0" collapsed="false">
      <c r="A8" s="3" t="n">
        <v>1</v>
      </c>
      <c r="B8" s="5" t="s">
        <v>34</v>
      </c>
      <c r="C8" s="3" t="s">
        <v>74</v>
      </c>
      <c r="D8" s="3" t="n">
        <f aca="false">COUNTIF(Leerlingen!$C$2:$C$73,C8)</f>
        <v>4</v>
      </c>
    </row>
    <row r="9" customFormat="false" ht="15" hidden="false" customHeight="true" outlineLevel="0" collapsed="false">
      <c r="A9" s="3" t="n">
        <v>1</v>
      </c>
      <c r="B9" s="5" t="s">
        <v>34</v>
      </c>
      <c r="C9" s="3" t="s">
        <v>79</v>
      </c>
      <c r="D9" s="3" t="n">
        <f aca="false">COUNTIF(Leerlingen!$C$2:$C$73,C9)</f>
        <v>4</v>
      </c>
    </row>
    <row r="10" customFormat="false" ht="15" hidden="false" customHeight="true" outlineLevel="0" collapsed="false">
      <c r="A10" s="3" t="n">
        <v>1</v>
      </c>
      <c r="B10" s="5" t="s">
        <v>34</v>
      </c>
      <c r="C10" s="3" t="s">
        <v>84</v>
      </c>
      <c r="D10" s="3" t="n">
        <f aca="false">COUNTIF(Leerlingen!$C$2:$C$73,C10)</f>
        <v>4</v>
      </c>
    </row>
    <row r="11" customFormat="false" ht="15" hidden="false" customHeight="true" outlineLevel="0" collapsed="false">
      <c r="A11" s="3" t="n">
        <v>2</v>
      </c>
      <c r="B11" s="5" t="s">
        <v>24</v>
      </c>
      <c r="C11" s="3" t="s">
        <v>88</v>
      </c>
      <c r="D11" s="3" t="n">
        <f aca="false">COUNTIF(Leerlingen!$C$2:$C$73,C11)</f>
        <v>4</v>
      </c>
    </row>
    <row r="12" customFormat="false" ht="15" hidden="false" customHeight="true" outlineLevel="0" collapsed="false">
      <c r="A12" s="3" t="n">
        <v>2</v>
      </c>
      <c r="B12" s="5" t="s">
        <v>34</v>
      </c>
      <c r="C12" s="3" t="s">
        <v>91</v>
      </c>
      <c r="D12" s="3" t="n">
        <f aca="false">COUNTIF(Leerlingen!$C$2:$C$73,C12)</f>
        <v>4</v>
      </c>
    </row>
    <row r="13" customFormat="false" ht="15" hidden="false" customHeight="true" outlineLevel="0" collapsed="false">
      <c r="A13" s="3" t="n">
        <v>2</v>
      </c>
      <c r="B13" s="5" t="s">
        <v>34</v>
      </c>
      <c r="C13" s="3" t="s">
        <v>96</v>
      </c>
      <c r="D13" s="3" t="n">
        <f aca="false">COUNTIF(Leerlingen!$C$2:$C$73,C13)</f>
        <v>4</v>
      </c>
    </row>
    <row r="14" customFormat="false" ht="15" hidden="false" customHeight="true" outlineLevel="0" collapsed="false">
      <c r="A14" s="3" t="n">
        <v>2</v>
      </c>
      <c r="B14" s="5" t="s">
        <v>34</v>
      </c>
      <c r="C14" s="3" t="s">
        <v>99</v>
      </c>
      <c r="D14" s="3" t="n">
        <f aca="false">COUNTIF(Leerlingen!$C$2:$C$73,C14)</f>
        <v>4</v>
      </c>
    </row>
    <row r="15" customFormat="false" ht="15" hidden="false" customHeight="true" outlineLevel="0" collapsed="false">
      <c r="A15" s="3" t="n">
        <v>2</v>
      </c>
      <c r="B15" s="5" t="s">
        <v>34</v>
      </c>
      <c r="C15" s="3" t="s">
        <v>104</v>
      </c>
      <c r="D15" s="3" t="n">
        <f aca="false">COUNTIF(Leerlingen!$C$2:$C$73,C15)</f>
        <v>4</v>
      </c>
    </row>
    <row r="16" customFormat="false" ht="15" hidden="false" customHeight="true" outlineLevel="0" collapsed="false">
      <c r="A16" s="3" t="n">
        <v>2</v>
      </c>
      <c r="B16" s="5" t="s">
        <v>34</v>
      </c>
      <c r="C16" s="3" t="s">
        <v>110</v>
      </c>
      <c r="D16" s="3" t="n">
        <f aca="false">COUNTIF(Leerlingen!$C$2:$C$73,C16)</f>
        <v>4</v>
      </c>
    </row>
    <row r="17" customFormat="false" ht="15" hidden="false" customHeight="true" outlineLevel="0" collapsed="false">
      <c r="A17" s="3" t="n">
        <v>2</v>
      </c>
      <c r="B17" s="5" t="s">
        <v>34</v>
      </c>
      <c r="C17" s="3" t="s">
        <v>114</v>
      </c>
      <c r="D17" s="3" t="n">
        <f aca="false">COUNTIF(Leerlingen!$C$2:$C$73,C17)</f>
        <v>4</v>
      </c>
    </row>
    <row r="18" customFormat="false" ht="15" hidden="false" customHeight="true" outlineLevel="0" collapsed="false">
      <c r="A18" s="3" t="n">
        <v>2</v>
      </c>
      <c r="B18" s="5" t="s">
        <v>34</v>
      </c>
      <c r="C18" s="3" t="s">
        <v>117</v>
      </c>
      <c r="D18" s="3" t="n">
        <f aca="false">COUNTIF(Leerlingen!$C$2:$C$73,C18)</f>
        <v>4</v>
      </c>
    </row>
    <row r="19" customFormat="false" ht="15" hidden="false" customHeight="true" outlineLevel="0" collapsed="false">
      <c r="A19" s="3" t="n">
        <v>2</v>
      </c>
      <c r="B19" s="5" t="s">
        <v>34</v>
      </c>
      <c r="C19" s="3" t="s">
        <v>119</v>
      </c>
      <c r="D19" s="3" t="n">
        <f aca="false">COUNTIF(Leerlingen!$C$2:$C$73,C19)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2026-10-17T07:00:16Z</dcterms:created>
  <dc:creator>openpyxl</dc:creator>
  <dc:description/>
  <dc:language>en-US</dc:language>
  <cp:lastModifiedBy/>
  <dcterms:modified xsi:type="dcterms:W3CDTF">2026-10-17T07:19:35Z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